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reas" sheetId="2" r:id="rId5"/>
    <sheet state="visible" name="Burndown" sheetId="3" r:id="rId6"/>
  </sheets>
  <definedNames/>
  <calcPr/>
  <extLst>
    <ext uri="GoogleSheetsCustomDataVersion2">
      <go:sheetsCustomData xmlns:go="http://customooxmlschemas.google.com/" r:id="rId7" roundtripDataChecksum="rTZx5hcdvjyDC7R1cNT43aPP0Fk1fNwpfUOzro3diVw="/>
    </ext>
  </extLst>
</workbook>
</file>

<file path=xl/sharedStrings.xml><?xml version="1.0" encoding="utf-8"?>
<sst xmlns="http://schemas.openxmlformats.org/spreadsheetml/2006/main" count="127" uniqueCount="92">
  <si>
    <t>ACTIVIDAD</t>
  </si>
  <si>
    <t>Tareas del proyecto Capstone</t>
  </si>
  <si>
    <t>Sprint</t>
  </si>
  <si>
    <t>FECHA INICIO</t>
  </si>
  <si>
    <t>Actividad</t>
  </si>
  <si>
    <t>FECHA FIN</t>
  </si>
  <si>
    <t>Puntos</t>
  </si>
  <si>
    <t>Estado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</si>
  <si>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</si>
  <si>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</si>
  <si>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</si>
  <si>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</si>
  <si>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</si>
  <si>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</si>
  <si>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</si>
  <si>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</si>
  <si>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</si>
  <si>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</si>
  <si>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</si>
  <si>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</si>
  <si>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</si>
  <si>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</si>
  <si>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</si>
  <si>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</si>
  <si>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</si>
  <si>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</si>
  <si>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</si>
  <si>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</si>
  <si>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</si>
  <si>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</t>
  </si>
  <si>
    <t>Hecho</t>
  </si>
  <si>
    <t>Definición de proyecto Capstone</t>
  </si>
  <si>
    <t>Realización evidencia de Autoevaluación Competencias F1</t>
  </si>
  <si>
    <t>Realización evidencia de Diario de Reflexión F1</t>
  </si>
  <si>
    <t>Junta con cliente (N°1)</t>
  </si>
  <si>
    <t>Levantamiento de requisitos</t>
  </si>
  <si>
    <t>Realización evidencia de Autoevaluación F1</t>
  </si>
  <si>
    <t>Creación de Historias de Usuario</t>
  </si>
  <si>
    <t>Creación de PPT1</t>
  </si>
  <si>
    <t>Realización evidencia de Guía Estudiante F1</t>
  </si>
  <si>
    <t>Estructurado de Product Backlog</t>
  </si>
  <si>
    <t>Configuración de repositorio GIT</t>
  </si>
  <si>
    <t>Configuración del backend/API</t>
  </si>
  <si>
    <t>Configuración del VPS/Servidor</t>
  </si>
  <si>
    <t>Implementación de políticas de seguridad y autenticación</t>
  </si>
  <si>
    <t>Planilla Evaluación F1</t>
  </si>
  <si>
    <t>Evaluación 1 (Hito 1)</t>
  </si>
  <si>
    <t>SPRINT 1</t>
  </si>
  <si>
    <t>Diseñar y crear modelo Relacional/No Relacional</t>
  </si>
  <si>
    <t>Registro de productos iniciales en base de datos (prueba)</t>
  </si>
  <si>
    <t>Implementación de servicios backend</t>
  </si>
  <si>
    <t>Implementación de vistas para usuario en tiempo real</t>
  </si>
  <si>
    <t>Junta con cliente (N°2)</t>
  </si>
  <si>
    <t>SPRINT 2</t>
  </si>
  <si>
    <t>Construir script automatizado para extracción de precios y actualización automatica en la base de datos</t>
  </si>
  <si>
    <t xml:space="preserve">Desarrollar aplicación móvil conectada a API </t>
  </si>
  <si>
    <t>Evaluación 2 (Hito 2)</t>
  </si>
  <si>
    <t>Configurar envío de notificaciones "push" ante ofertas o cambios de precio</t>
  </si>
  <si>
    <t>Creación función de escaneo de codigo de barras</t>
  </si>
  <si>
    <t>Junta con cliente (N°3)</t>
  </si>
  <si>
    <t>Pendiente</t>
  </si>
  <si>
    <t>SPRINT 3</t>
  </si>
  <si>
    <t>Configurar notificaciones de falta stock en la pagina del proveedor</t>
  </si>
  <si>
    <t>Desarrollar agente de IA de reconocimiento de voz</t>
  </si>
  <si>
    <t>Implementar agente de IA de reconocimiento de voz para resolver consultas</t>
  </si>
  <si>
    <t>Ejecución de pruebas unitarias entre plataformas</t>
  </si>
  <si>
    <t>Ejecución de pruebas de carga</t>
  </si>
  <si>
    <t>Junta con cliente (N°4)</t>
  </si>
  <si>
    <t>SPRINT 4</t>
  </si>
  <si>
    <t>Redacción de informe final</t>
  </si>
  <si>
    <t>Creación de manual de usuario y guía de despliegue</t>
  </si>
  <si>
    <t>Preparación de la presentación y defensa</t>
  </si>
  <si>
    <t>Evaluación 3 (Hito 3)</t>
  </si>
  <si>
    <t>Burndown Chart – Proyecto Capstone</t>
  </si>
  <si>
    <t>Unidad: puntos de esfuerzo (por defecto 1 punto = 1 actividad). Se edita en la hoja 'Tareas'.</t>
  </si>
  <si>
    <t>Punto de medición</t>
  </si>
  <si>
    <t>Fecha</t>
  </si>
  <si>
    <t>Puntos planificados</t>
  </si>
  <si>
    <t>Puntos completados</t>
  </si>
  <si>
    <t>Restante – Plan (Gantt)</t>
  </si>
  <si>
    <t>Restante – Real</t>
  </si>
  <si>
    <t>Resumen</t>
  </si>
  <si>
    <t>Inicio</t>
  </si>
  <si>
    <t>Total de puntos</t>
  </si>
  <si>
    <t>Sprint 0</t>
  </si>
  <si>
    <t>Completados</t>
  </si>
  <si>
    <t>Sprint 1</t>
  </si>
  <si>
    <t>Restantes</t>
  </si>
  <si>
    <t>Sprint 2</t>
  </si>
  <si>
    <t>Avance</t>
  </si>
  <si>
    <t>Sprint 3</t>
  </si>
  <si>
    <t>Sprint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</si>
</sst>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\-yyyy"/>
  </numFmts>
  <fonts count="14">
    <font>
      <sz val="11.0"/>
      <color theme="1"/>
      <name val="Aptos Narrow"/>
      <scheme val="minor"/>
    </font>
    <font>
      <b/>
      <sz val="14.0"/>
      <color theme="1"/>
      <name val="Arial"/>
    </font>
    <font>
      <b/>
      <sz val="11.0"/>
      <color theme="1"/>
      <name val="Aptos Narrow"/>
    </font>
    <font>
      <i/>
      <sz val="9.0"/>
      <color rgb="FF595959"/>
      <name val="Arial"/>
    </font>
    <font/>
    <font>
      <b/>
      <sz val="10.0"/>
      <color rgb="FFFFFFFF"/>
      <name val="Arial"/>
    </font>
    <font>
      <b/>
      <sz val="11.0"/>
      <color theme="1"/>
      <name val="Arial"/>
    </font>
    <font>
      <sz val="10.0"/>
      <color rgb="FF008000"/>
      <name val="Arial"/>
    </font>
    <font>
      <sz val="11.0"/>
      <color theme="1"/>
      <name val="Arial"/>
    </font>
    <font>
      <b/>
      <sz val="11.0"/>
      <color rgb="FF000000"/>
      <name val="Arial"/>
    </font>
    <font>
      <sz val="10.0"/>
      <color rgb="FF0000FF"/>
      <name val="Arial"/>
    </font>
    <font>
      <sz val="11.0"/>
      <color theme="1"/>
      <name val="Aptos Narrow"/>
    </font>
    <font>
      <b/>
      <sz val="10.0"/>
      <color theme="1"/>
      <name val="Arial"/>
    </font>
    <font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7C80"/>
        <bgColor rgb="FFFF7C80"/>
      </patternFill>
    </fill>
    <fill>
      <patternFill patternType="solid">
        <fgColor rgb="FF6D9EEB"/>
        <bgColor rgb="FF6D9EEB"/>
      </patternFill>
    </fill>
    <fill>
      <patternFill patternType="solid">
        <fgColor rgb="FF47D45A"/>
        <bgColor rgb="FF47D45A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CE86AB"/>
        <bgColor rgb="FFCE86AB"/>
      </patternFill>
    </fill>
    <fill>
      <patternFill patternType="solid">
        <fgColor rgb="FFC86797"/>
        <bgColor rgb="FFC86797"/>
      </patternFill>
    </fill>
    <fill>
      <patternFill patternType="solid">
        <fgColor rgb="FFB95F8B"/>
        <bgColor rgb="FFB95F8B"/>
      </patternFill>
    </fill>
    <fill>
      <patternFill patternType="solid">
        <fgColor rgb="FFF2F2F2"/>
        <bgColor rgb="FFF2F2F2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4" fontId="6" numFmtId="0" xfId="0" applyAlignment="1" applyBorder="1" applyFill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4" fillId="0" fontId="7" numFmtId="0" xfId="0" applyBorder="1" applyFont="1"/>
    <xf borderId="17" fillId="5" fontId="8" numFmtId="0" xfId="0" applyAlignment="1" applyBorder="1" applyFill="1" applyFont="1">
      <alignment horizontal="center"/>
    </xf>
    <xf borderId="18" fillId="5" fontId="8" numFmtId="0" xfId="0" applyAlignment="1" applyBorder="1" applyFill="1" applyFont="1">
      <alignment horizontal="center"/>
    </xf>
    <xf borderId="4" fillId="0" fontId="7" numFmtId="0" xfId="0" applyAlignment="1" applyBorder="1" applyFont="1">
      <alignment shrinkToFit="0" vertical="center" wrapText="1"/>
    </xf>
    <xf borderId="19" fillId="6" fontId="9" numFmtId="0" xfId="0" applyAlignment="1" applyBorder="1" applyFill="1" applyFont="1">
      <alignment horizontal="center"/>
    </xf>
    <xf borderId="4" fillId="7" fontId="10" numFmtId="0" xfId="0" applyAlignment="1" applyBorder="1" applyFill="1" applyFont="1">
      <alignment horizontal="center" vertical="center"/>
    </xf>
    <xf borderId="20" fillId="0" fontId="4" numFmtId="0" xfId="0" applyBorder="1" applyFont="1"/>
    <xf borderId="21" fillId="0" fontId="4" numFmtId="0" xfId="0" applyBorder="1" applyFont="1"/>
    <xf borderId="22" fillId="6" fontId="8" numFmtId="164" xfId="0" applyAlignment="1" applyBorder="1" applyFill="1" applyFont="1" applyNumberFormat="1">
      <alignment horizontal="center"/>
    </xf>
    <xf borderId="23" fillId="6" fontId="8" numFmtId="164" xfId="0" applyAlignment="1" applyBorder="1" applyFill="1" applyFont="1" applyNumberFormat="1">
      <alignment horizontal="center"/>
    </xf>
    <xf borderId="24" fillId="6" fontId="11" numFmtId="0" xfId="0" applyAlignment="1" applyBorder="1" applyFill="1" applyFont="1">
      <alignment horizontal="center"/>
    </xf>
    <xf borderId="0" fillId="0" fontId="11" numFmtId="0" xfId="0" applyAlignment="1" applyFont="1">
      <alignment horizontal="center"/>
    </xf>
    <xf borderId="25" fillId="0" fontId="11" numFmtId="0" xfId="0" applyBorder="1" applyFont="1"/>
    <xf borderId="0" fillId="0" fontId="8" numFmtId="0" xfId="0" applyAlignment="1" applyFont="1">
      <alignment horizontal="center"/>
    </xf>
    <xf borderId="26" fillId="0" fontId="11" numFmtId="0" xfId="0" applyAlignment="1" applyBorder="1" applyFont="1">
      <alignment horizontal="center"/>
    </xf>
    <xf borderId="27" fillId="0" fontId="11" numFmtId="0" xfId="0" applyAlignment="1" applyBorder="1" applyFont="1">
      <alignment horizontal="center"/>
    </xf>
    <xf borderId="24" fillId="8" fontId="11" numFmtId="0" xfId="0" applyAlignment="1" applyBorder="1" applyFill="1" applyFont="1">
      <alignment horizontal="center"/>
    </xf>
    <xf borderId="24" fillId="9" fontId="11" numFmtId="0" xfId="0" applyAlignment="1" applyBorder="1" applyFill="1" applyFont="1">
      <alignment horizontal="center"/>
    </xf>
    <xf borderId="19" fillId="10" fontId="8" numFmtId="0" xfId="0" applyAlignment="1" applyBorder="1" applyFill="1" applyFont="1">
      <alignment horizontal="center"/>
    </xf>
    <xf borderId="23" fillId="9" fontId="8" numFmtId="164" xfId="0" applyAlignment="1" applyBorder="1" applyFill="1" applyFont="1" applyNumberFormat="1">
      <alignment horizontal="center"/>
    </xf>
    <xf borderId="28" fillId="9" fontId="8" numFmtId="164" xfId="0" applyAlignment="1" applyBorder="1" applyFill="1" applyFont="1" applyNumberFormat="1">
      <alignment horizontal="center"/>
    </xf>
    <xf borderId="24" fillId="10" fontId="6" numFmtId="0" xfId="0" applyAlignment="1" applyBorder="1" applyFill="1" applyFont="1">
      <alignment horizontal="center"/>
    </xf>
    <xf borderId="19" fillId="11" fontId="6" numFmtId="0" xfId="0" applyAlignment="1" applyBorder="1" applyFill="1" applyFont="1">
      <alignment horizontal="center"/>
    </xf>
    <xf borderId="23" fillId="11" fontId="8" numFmtId="164" xfId="0" applyAlignment="1" applyBorder="1" applyFill="1" applyFont="1" applyNumberFormat="1">
      <alignment horizontal="center"/>
    </xf>
    <xf borderId="24" fillId="11" fontId="11" numFmtId="0" xfId="0" applyAlignment="1" applyBorder="1" applyFill="1" applyFont="1">
      <alignment horizontal="center"/>
    </xf>
    <xf borderId="0" fillId="0" fontId="8" numFmtId="0" xfId="0" applyAlignment="1" applyFont="1">
      <alignment horizontal="center" readingOrder="0"/>
    </xf>
    <xf borderId="19" fillId="12" fontId="6" numFmtId="0" xfId="0" applyAlignment="1" applyBorder="1" applyFill="1" applyFont="1">
      <alignment horizontal="center"/>
    </xf>
    <xf borderId="23" fillId="12" fontId="8" numFmtId="164" xfId="0" applyAlignment="1" applyBorder="1" applyFill="1" applyFont="1" applyNumberFormat="1">
      <alignment horizontal="center"/>
    </xf>
    <xf borderId="24" fillId="12" fontId="11" numFmtId="0" xfId="0" applyBorder="1" applyFill="1" applyFont="1"/>
    <xf borderId="0" fillId="9" fontId="11" numFmtId="0" xfId="0" applyAlignment="1" applyFill="1" applyFont="1">
      <alignment horizontal="center"/>
    </xf>
    <xf borderId="4" fillId="7" fontId="10" numFmtId="0" xfId="0" applyAlignment="1" applyBorder="1" applyFill="1" applyFont="1">
      <alignment horizontal="center" readingOrder="0" vertical="center"/>
    </xf>
    <xf borderId="19" fillId="13" fontId="9" numFmtId="0" xfId="0" applyAlignment="1" applyBorder="1" applyFill="1" applyFont="1">
      <alignment horizontal="center"/>
    </xf>
    <xf borderId="23" fillId="13" fontId="8" numFmtId="164" xfId="0" applyAlignment="1" applyBorder="1" applyFill="1" applyFont="1" applyNumberFormat="1">
      <alignment horizontal="center"/>
    </xf>
    <xf borderId="24" fillId="13" fontId="11" numFmtId="0" xfId="0" applyBorder="1" applyFill="1" applyFont="1"/>
    <xf borderId="0" fillId="0" fontId="8" numFmtId="0" xfId="0" applyAlignment="1" applyFont="1">
      <alignment horizontal="center" vertical="bottom"/>
    </xf>
    <xf borderId="19" fillId="14" fontId="8" numFmtId="0" xfId="0" applyAlignment="1" applyBorder="1" applyFill="1" applyFont="1">
      <alignment horizontal="center"/>
    </xf>
    <xf borderId="23" fillId="14" fontId="8" numFmtId="164" xfId="0" applyAlignment="1" applyBorder="1" applyFill="1" applyFont="1" applyNumberFormat="1">
      <alignment horizontal="center"/>
    </xf>
    <xf borderId="24" fillId="9" fontId="11" numFmtId="0" xfId="0" applyBorder="1" applyFill="1" applyFont="1"/>
    <xf borderId="24" fillId="14" fontId="11" numFmtId="0" xfId="0" applyBorder="1" applyFill="1" applyFont="1"/>
    <xf borderId="28" fillId="8" fontId="11" numFmtId="0" xfId="0" applyAlignment="1" applyBorder="1" applyFill="1" applyFont="1">
      <alignment horizontal="center"/>
    </xf>
    <xf borderId="6" fillId="10" fontId="8" numFmtId="0" xfId="0" applyAlignment="1" applyBorder="1" applyFill="1" applyFont="1">
      <alignment horizontal="center"/>
    </xf>
    <xf borderId="17" fillId="9" fontId="8" numFmtId="164" xfId="0" applyAlignment="1" applyBorder="1" applyFill="1" applyFont="1" applyNumberFormat="1">
      <alignment horizontal="center"/>
    </xf>
    <xf borderId="14" fillId="0" fontId="11" numFmtId="0" xfId="0" applyBorder="1" applyFont="1"/>
    <xf borderId="29" fillId="10" fontId="6" numFmtId="0" xfId="0" applyAlignment="1" applyBorder="1" applyFill="1" applyFont="1">
      <alignment horizontal="center"/>
    </xf>
    <xf borderId="24" fillId="3" fontId="5" numFmtId="0" xfId="0" applyAlignment="1" applyBorder="1" applyFill="1" applyFont="1">
      <alignment horizontal="center" shrinkToFit="0" vertical="center" wrapText="1"/>
    </xf>
    <xf borderId="24" fillId="3" fontId="11" numFmtId="0" xfId="0" applyBorder="1" applyFill="1" applyFont="1"/>
    <xf borderId="4" fillId="0" fontId="12" numFmtId="0" xfId="0" applyAlignment="1" applyBorder="1" applyFont="1">
      <alignment horizontal="left" vertical="center"/>
    </xf>
    <xf borderId="4" fillId="0" fontId="7" numFmtId="164" xfId="0" applyAlignment="1" applyBorder="1" applyFont="1" applyNumberFormat="1">
      <alignment horizontal="center" vertical="center"/>
    </xf>
    <xf borderId="4" fillId="0" fontId="13" numFmtId="1" xfId="0" applyAlignment="1" applyBorder="1" applyFont="1" applyNumberFormat="1">
      <alignment horizontal="center" vertical="center"/>
    </xf>
    <xf borderId="4" fillId="0" fontId="13" numFmtId="0" xfId="0" applyBorder="1" applyFont="1"/>
    <xf borderId="4" fillId="0" fontId="12" numFmtId="1" xfId="0" applyAlignment="1" applyBorder="1" applyFont="1" applyNumberFormat="1">
      <alignment horizontal="center"/>
    </xf>
    <xf borderId="4" fillId="0" fontId="13" numFmtId="0" xfId="0" applyAlignment="1" applyBorder="1" applyFont="1">
      <alignment horizontal="left" vertical="center"/>
    </xf>
    <xf borderId="4" fillId="15" fontId="13" numFmtId="1" xfId="0" applyAlignment="1" applyBorder="1" applyFill="1" applyFont="1" applyNumberFormat="1">
      <alignment horizontal="center" vertic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Burndown – Proyecto Capstone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Restante – Plan (Gantt)</c:v>
          </c:tx>
          <c:spPr>
            <a:ln cmpd="sng" w="19050">
              <a:solidFill>
                <a:srgbClr val="7F7F7F">
                  <a:alpha val="100000"/>
                </a:srgbClr>
              </a:solidFill>
              <a:prstDash val="dash"/>
            </a:ln>
          </c:spPr>
          <c:marker>
            <c:symbol val="circle"/>
            <c:size val="8"/>
            <c:spPr>
              <a:solidFill>
                <a:srgbClr val="7F7F7F">
                  <a:alpha val="100000"/>
                </a:srgbClr>
              </a:solidFill>
              <a:ln cmpd="sng">
                <a:solidFill>
                  <a:srgbClr val="7F7F7F">
                    <a:alpha val="100000"/>
                  </a:srgbClr>
                </a:solidFill>
              </a:ln>
            </c:spPr>
          </c:marker>
          <c:cat>
            <c:strRef>
              <c:f>Burndown!$A$5:$A$10</c:f>
            </c:strRef>
          </c:cat>
          <c:val>
            <c:numRef>
              <c:f>Burndown!$E$5:$E$10</c:f>
              <c:numCache/>
            </c:numRef>
          </c:val>
          <c:smooth val="0"/>
        </c:ser>
        <c:ser>
          <c:idx val="1"/>
          <c:order val="1"/>
          <c:tx>
            <c:v>Restante – Real</c:v>
          </c:tx>
          <c:spPr>
            <a:ln cmpd="sng" w="28575">
              <a:solidFill>
                <a:srgbClr val="1F5FB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F5FBF">
                  <a:alpha val="100000"/>
                </a:srgbClr>
              </a:solidFill>
              <a:ln cmpd="sng">
                <a:solidFill>
                  <a:srgbClr val="1F5FB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Burndown!$A$5:$A$10</c:f>
            </c:strRef>
          </c:cat>
          <c:val>
            <c:numRef>
              <c:f>Burndown!$F$5:$F$10</c:f>
              <c:numCache/>
            </c:numRef>
          </c:val>
          <c:smooth val="0"/>
        </c:ser>
        <c:axId val="562433536"/>
        <c:axId val="1685672085"/>
      </c:lineChart>
      <c:catAx>
        <c:axId val="56243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85672085"/>
      </c:catAx>
      <c:valAx>
        <c:axId val="168567208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Puntos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6243353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152400</xdr:rowOff>
    </xdr:from>
    <xdr:ext cx="7010400" cy="3781425"/>
    <xdr:graphicFrame>
      <xdr:nvGraphicFramePr>
        <xdr:cNvPr id="20803443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60.13"/>
    <col customWidth="1" min="5" max="5" width="13.13"/>
    <col customWidth="1" min="6" max="6" width="10.38"/>
    <col customWidth="1" min="7" max="8" width="6.75"/>
    <col customWidth="1" min="9" max="10" width="6.38"/>
    <col customWidth="1" min="11" max="11" width="6.25"/>
    <col customWidth="1" min="12" max="12" width="6.13"/>
    <col customWidth="1" min="13" max="13" width="6.38"/>
    <col customWidth="1" min="14" max="14" width="6.63"/>
    <col customWidth="1" min="15" max="16" width="5.88"/>
    <col customWidth="1" min="17" max="17" width="6.13"/>
    <col customWidth="1" min="18" max="18" width="6.25"/>
    <col customWidth="1" min="19" max="21" width="6.38"/>
    <col customWidth="1" min="22" max="22" width="5.88"/>
    <col customWidth="1" min="23" max="24" width="6.38"/>
    <col customWidth="1" min="25" max="25" width="8.63"/>
  </cols>
  <sheetData>
    <row r="1">
      <c r="A1" s="2" t="s">
        <v>0</v>
      </c>
      <c r="B1" s="4"/>
      <c r="C1" s="4"/>
      <c r="D1" s="5"/>
      <c r="E1" s="7" t="s">
        <v>3</v>
      </c>
      <c r="F1" s="7" t="s">
        <v>5</v>
      </c>
      <c r="G1" s="8" t="s">
        <v>8</v>
      </c>
      <c r="H1" s="9"/>
      <c r="I1" s="9"/>
      <c r="J1" s="10"/>
      <c r="K1" s="11" t="s">
        <v>9</v>
      </c>
      <c r="L1" s="12"/>
      <c r="M1" s="12"/>
      <c r="N1" s="12"/>
      <c r="O1" s="12"/>
      <c r="P1" s="12"/>
      <c r="Q1" s="12"/>
      <c r="R1" s="12"/>
      <c r="S1" s="12"/>
      <c r="T1" s="12"/>
      <c r="U1" s="13"/>
      <c r="V1" s="8" t="s">
        <v>10</v>
      </c>
      <c r="W1" s="9"/>
      <c r="X1" s="14"/>
    </row>
    <row r="2">
      <c r="A2" s="15"/>
      <c r="B2" s="16"/>
      <c r="C2" s="16"/>
      <c r="D2" s="17"/>
      <c r="E2" s="18"/>
      <c r="F2" s="18"/>
      <c r="G2" s="20" t="s">
        <v>11</v>
      </c>
      <c r="H2" s="20" t="s">
        <v>12</v>
      </c>
      <c r="I2" s="20" t="s">
        <v>13</v>
      </c>
      <c r="J2" s="20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0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</row>
    <row r="3">
      <c r="A3" s="23" t="s">
        <v>29</v>
      </c>
      <c r="B3" s="25"/>
      <c r="C3" s="25"/>
      <c r="D3" s="26"/>
      <c r="E3" s="27">
        <v>46244.0</v>
      </c>
      <c r="F3" s="28">
        <v>46271.0</v>
      </c>
      <c r="G3" s="29"/>
      <c r="H3" s="29"/>
      <c r="I3" s="29"/>
      <c r="J3" s="29"/>
      <c r="K3" s="30"/>
      <c r="L3" s="30"/>
      <c r="M3" s="30"/>
      <c r="N3" s="30"/>
      <c r="O3" s="30"/>
      <c r="P3" s="30"/>
      <c r="Q3" s="30"/>
      <c r="R3" s="30"/>
      <c r="S3" s="30"/>
      <c r="T3" s="30"/>
      <c r="Y3" s="31"/>
    </row>
    <row r="4">
      <c r="A4" s="32" t="s">
        <v>31</v>
      </c>
      <c r="E4" s="33"/>
      <c r="F4" s="34"/>
      <c r="G4" s="3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Y4" s="31"/>
    </row>
    <row r="5">
      <c r="A5" s="32" t="s">
        <v>32</v>
      </c>
      <c r="E5" s="33"/>
      <c r="F5" s="34"/>
      <c r="G5" s="3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Y5" s="31"/>
    </row>
    <row r="6">
      <c r="A6" s="32" t="s">
        <v>33</v>
      </c>
      <c r="E6" s="33"/>
      <c r="F6" s="34"/>
      <c r="G6" s="35"/>
      <c r="H6" s="36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Y6" s="31"/>
    </row>
    <row r="7">
      <c r="A7" s="32" t="s">
        <v>34</v>
      </c>
      <c r="E7" s="33"/>
      <c r="F7" s="34"/>
      <c r="G7" s="30"/>
      <c r="H7" s="35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Y7" s="31"/>
    </row>
    <row r="8">
      <c r="A8" s="32" t="s">
        <v>35</v>
      </c>
      <c r="E8" s="33"/>
      <c r="F8" s="34"/>
      <c r="G8" s="30"/>
      <c r="H8" s="35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Y8" s="31"/>
    </row>
    <row r="9">
      <c r="A9" s="32" t="s">
        <v>36</v>
      </c>
      <c r="E9" s="33"/>
      <c r="F9" s="34"/>
      <c r="G9" s="30"/>
      <c r="H9" s="35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Y9" s="31"/>
    </row>
    <row r="10">
      <c r="A10" s="32" t="s">
        <v>37</v>
      </c>
      <c r="E10" s="33"/>
      <c r="F10" s="34"/>
      <c r="G10" s="30"/>
      <c r="H10" s="35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Y10" s="31"/>
    </row>
    <row r="11">
      <c r="A11" s="32" t="s">
        <v>38</v>
      </c>
      <c r="E11" s="33"/>
      <c r="F11" s="34"/>
      <c r="G11" s="30"/>
      <c r="H11" s="35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Y11" s="31"/>
    </row>
    <row r="12">
      <c r="A12" s="32" t="s">
        <v>39</v>
      </c>
      <c r="E12" s="33"/>
      <c r="F12" s="34"/>
      <c r="G12" s="30"/>
      <c r="H12" s="35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Y12" s="31"/>
    </row>
    <row r="13">
      <c r="A13" s="32" t="s">
        <v>40</v>
      </c>
      <c r="E13" s="33"/>
      <c r="F13" s="34"/>
      <c r="G13" s="30"/>
      <c r="H13" s="30"/>
      <c r="I13" s="35"/>
      <c r="J13" s="35"/>
      <c r="K13" s="30"/>
      <c r="L13" s="30"/>
      <c r="M13" s="30"/>
      <c r="N13" s="30"/>
      <c r="O13" s="30"/>
      <c r="P13" s="30"/>
      <c r="Q13" s="30"/>
      <c r="R13" s="30"/>
      <c r="S13" s="30"/>
      <c r="T13" s="30"/>
      <c r="Y13" s="31"/>
    </row>
    <row r="14">
      <c r="A14" s="32" t="s">
        <v>41</v>
      </c>
      <c r="E14" s="33"/>
      <c r="F14" s="34"/>
      <c r="G14" s="30"/>
      <c r="H14" s="30"/>
      <c r="I14" s="35"/>
      <c r="J14" s="35"/>
      <c r="K14" s="30"/>
      <c r="L14" s="30"/>
      <c r="M14" s="30"/>
      <c r="N14" s="30"/>
      <c r="O14" s="30"/>
      <c r="P14" s="30"/>
      <c r="Q14" s="30"/>
      <c r="R14" s="30"/>
      <c r="S14" s="30"/>
      <c r="T14" s="30"/>
      <c r="Y14" s="31"/>
    </row>
    <row r="15">
      <c r="A15" s="32" t="s">
        <v>42</v>
      </c>
      <c r="E15" s="33"/>
      <c r="F15" s="34"/>
      <c r="G15" s="30"/>
      <c r="H15" s="30"/>
      <c r="I15" s="35"/>
      <c r="J15" s="35"/>
      <c r="K15" s="30"/>
      <c r="L15" s="30"/>
      <c r="M15" s="30"/>
      <c r="N15" s="30"/>
      <c r="O15" s="30"/>
      <c r="P15" s="30"/>
      <c r="Q15" s="30"/>
      <c r="R15" s="30"/>
      <c r="S15" s="30"/>
      <c r="T15" s="30"/>
      <c r="Y15" s="31"/>
    </row>
    <row r="16">
      <c r="A16" s="32" t="s">
        <v>43</v>
      </c>
      <c r="E16" s="33"/>
      <c r="F16" s="34"/>
      <c r="G16" s="30"/>
      <c r="H16" s="30"/>
      <c r="I16" s="35"/>
      <c r="J16" s="35"/>
      <c r="K16" s="30"/>
      <c r="L16" s="30"/>
      <c r="M16" s="30"/>
      <c r="N16" s="30"/>
      <c r="O16" s="30"/>
      <c r="P16" s="30"/>
      <c r="Q16" s="30"/>
      <c r="R16" s="30"/>
      <c r="S16" s="30"/>
      <c r="T16" s="30"/>
      <c r="Y16" s="31"/>
    </row>
    <row r="17">
      <c r="A17" s="32" t="s">
        <v>44</v>
      </c>
      <c r="E17" s="33"/>
      <c r="F17" s="34"/>
      <c r="G17" s="30"/>
      <c r="H17" s="30"/>
      <c r="I17" s="35"/>
      <c r="J17" s="35"/>
      <c r="K17" s="30"/>
      <c r="L17" s="30"/>
      <c r="M17" s="30"/>
      <c r="N17" s="30"/>
      <c r="O17" s="30"/>
      <c r="P17" s="30"/>
      <c r="Q17" s="30"/>
      <c r="R17" s="30"/>
      <c r="S17" s="30"/>
      <c r="T17" s="30"/>
      <c r="Y17" s="31"/>
    </row>
    <row r="18">
      <c r="A18" s="32" t="s">
        <v>45</v>
      </c>
      <c r="E18" s="33"/>
      <c r="F18" s="34"/>
      <c r="G18" s="30"/>
      <c r="H18" s="30"/>
      <c r="I18" s="30"/>
      <c r="J18" s="35"/>
      <c r="K18" s="30"/>
      <c r="L18" s="30"/>
      <c r="M18" s="30"/>
      <c r="N18" s="30"/>
      <c r="O18" s="30"/>
      <c r="P18" s="30"/>
      <c r="Q18" s="30"/>
      <c r="R18" s="30"/>
      <c r="S18" s="30"/>
      <c r="T18" s="30"/>
      <c r="Y18" s="31"/>
    </row>
    <row r="19">
      <c r="A19" s="37" t="s">
        <v>46</v>
      </c>
      <c r="B19" s="25"/>
      <c r="C19" s="25"/>
      <c r="D19" s="26"/>
      <c r="E19" s="38"/>
      <c r="F19" s="39"/>
      <c r="G19" s="36"/>
      <c r="H19" s="36"/>
      <c r="I19" s="36"/>
      <c r="J19" s="40"/>
      <c r="K19" s="36"/>
      <c r="L19" s="36"/>
      <c r="M19" s="36"/>
      <c r="N19" s="30"/>
      <c r="O19" s="30"/>
      <c r="P19" s="30"/>
      <c r="Q19" s="30"/>
      <c r="R19" s="30"/>
      <c r="S19" s="30"/>
      <c r="T19" s="30"/>
      <c r="Y19" s="31"/>
    </row>
    <row r="20">
      <c r="A20" s="41" t="s">
        <v>47</v>
      </c>
      <c r="B20" s="25"/>
      <c r="C20" s="25"/>
      <c r="D20" s="26"/>
      <c r="E20" s="42">
        <v>46272.0</v>
      </c>
      <c r="F20" s="42">
        <v>46292.0</v>
      </c>
      <c r="G20" s="30"/>
      <c r="H20" s="30"/>
      <c r="I20" s="30"/>
      <c r="J20" s="30"/>
      <c r="K20" s="43"/>
      <c r="L20" s="43"/>
      <c r="M20" s="43"/>
      <c r="N20" s="30"/>
      <c r="O20" s="30"/>
      <c r="P20" s="30"/>
      <c r="Q20" s="30"/>
      <c r="R20" s="30"/>
      <c r="S20" s="30"/>
      <c r="T20" s="30"/>
      <c r="Y20" s="31"/>
    </row>
    <row r="21" ht="15.75" customHeight="1">
      <c r="A21" s="32" t="s">
        <v>48</v>
      </c>
      <c r="E21" s="33"/>
      <c r="F21" s="34"/>
      <c r="G21" s="30"/>
      <c r="H21" s="30"/>
      <c r="I21" s="30"/>
      <c r="J21" s="30"/>
      <c r="K21" s="35"/>
      <c r="L21" s="30"/>
      <c r="M21" s="30"/>
      <c r="N21" s="30"/>
      <c r="O21" s="30"/>
      <c r="P21" s="30"/>
      <c r="Q21" s="30"/>
      <c r="R21" s="30"/>
      <c r="S21" s="30"/>
      <c r="T21" s="30"/>
      <c r="Y21" s="31"/>
    </row>
    <row r="22" ht="15.75" customHeight="1">
      <c r="A22" s="44" t="s">
        <v>49</v>
      </c>
      <c r="E22" s="33"/>
      <c r="F22" s="34"/>
      <c r="G22" s="30"/>
      <c r="H22" s="30"/>
      <c r="I22" s="30"/>
      <c r="J22" s="30"/>
      <c r="K22" s="35"/>
      <c r="L22" s="35"/>
      <c r="M22" s="30"/>
      <c r="N22" s="30"/>
      <c r="O22" s="30"/>
      <c r="P22" s="30"/>
      <c r="Q22" s="30"/>
      <c r="R22" s="30"/>
      <c r="S22" s="30"/>
      <c r="T22" s="30"/>
      <c r="Y22" s="31"/>
    </row>
    <row r="23" ht="15.75" customHeight="1">
      <c r="A23" s="32" t="s">
        <v>50</v>
      </c>
      <c r="E23" s="33"/>
      <c r="F23" s="34"/>
      <c r="L23" s="35"/>
      <c r="M23" s="35"/>
      <c r="Y23" s="31"/>
    </row>
    <row r="24" ht="15.75" customHeight="1">
      <c r="A24" s="32" t="s">
        <v>51</v>
      </c>
      <c r="E24" s="33"/>
      <c r="F24" s="34"/>
      <c r="L24" s="35"/>
      <c r="M24" s="35"/>
      <c r="Y24" s="31"/>
    </row>
    <row r="25" ht="15.75" customHeight="1">
      <c r="A25" s="32" t="s">
        <v>52</v>
      </c>
      <c r="E25" s="33"/>
      <c r="F25" s="34"/>
      <c r="M25" s="35"/>
      <c r="Y25" s="31"/>
    </row>
    <row r="26" ht="15.75" customHeight="1">
      <c r="A26" s="45" t="s">
        <v>53</v>
      </c>
      <c r="B26" s="25"/>
      <c r="C26" s="25"/>
      <c r="D26" s="26"/>
      <c r="E26" s="46">
        <v>46293.0</v>
      </c>
      <c r="F26" s="46">
        <v>46320.0</v>
      </c>
      <c r="N26" s="47"/>
      <c r="O26" s="47"/>
      <c r="P26" s="47"/>
      <c r="Q26" s="47"/>
      <c r="Y26" s="31"/>
    </row>
    <row r="27" ht="15.75" customHeight="1">
      <c r="A27" s="32" t="s">
        <v>54</v>
      </c>
      <c r="E27" s="33"/>
      <c r="F27" s="34"/>
      <c r="N27" s="35"/>
      <c r="O27" s="35"/>
      <c r="Y27" s="31"/>
    </row>
    <row r="28" ht="15.75" customHeight="1">
      <c r="A28" s="32" t="s">
        <v>55</v>
      </c>
      <c r="E28" s="33"/>
      <c r="F28" s="34"/>
      <c r="O28" s="35"/>
      <c r="P28" s="35"/>
      <c r="Q28" s="35"/>
      <c r="Y28" s="31"/>
    </row>
    <row r="29" ht="15.75" customHeight="1">
      <c r="A29" s="37" t="s">
        <v>56</v>
      </c>
      <c r="B29" s="25"/>
      <c r="C29" s="25"/>
      <c r="D29" s="26"/>
      <c r="E29" s="38"/>
      <c r="F29" s="39"/>
      <c r="G29" s="36"/>
      <c r="H29" s="36"/>
      <c r="I29" s="36"/>
      <c r="J29" s="36"/>
      <c r="K29" s="36"/>
      <c r="L29" s="36"/>
      <c r="M29" s="36"/>
      <c r="N29" s="30"/>
      <c r="O29" s="30"/>
      <c r="P29" s="40"/>
      <c r="Q29" s="30"/>
      <c r="R29" s="30"/>
      <c r="S29" s="30"/>
      <c r="T29" s="30"/>
      <c r="Y29" s="31"/>
    </row>
    <row r="30" ht="15.75" customHeight="1">
      <c r="A30" s="32" t="s">
        <v>57</v>
      </c>
      <c r="E30" s="33"/>
      <c r="F30" s="34"/>
      <c r="Q30" s="35"/>
      <c r="Y30" s="31"/>
    </row>
    <row r="31" ht="15.75" customHeight="1">
      <c r="A31" s="44" t="s">
        <v>58</v>
      </c>
      <c r="E31" s="33"/>
      <c r="F31" s="34"/>
      <c r="P31" s="48"/>
      <c r="Q31" s="35"/>
      <c r="Y31" s="31"/>
    </row>
    <row r="32" ht="15.75" customHeight="1">
      <c r="A32" s="32" t="s">
        <v>59</v>
      </c>
      <c r="E32" s="33"/>
      <c r="F32" s="34"/>
      <c r="P32" s="36"/>
      <c r="Q32" s="35"/>
      <c r="Y32" s="31"/>
    </row>
    <row r="33" ht="15.75" customHeight="1">
      <c r="A33" s="50" t="s">
        <v>61</v>
      </c>
      <c r="B33" s="25"/>
      <c r="C33" s="25"/>
      <c r="D33" s="26"/>
      <c r="E33" s="51">
        <v>46321.0</v>
      </c>
      <c r="F33" s="51">
        <v>46341.0</v>
      </c>
      <c r="R33" s="52"/>
      <c r="S33" s="52"/>
      <c r="T33" s="52"/>
      <c r="U33" s="52"/>
      <c r="Y33" s="31"/>
    </row>
    <row r="34" ht="15.75" customHeight="1">
      <c r="A34" s="53" t="s">
        <v>62</v>
      </c>
      <c r="E34" s="33"/>
      <c r="F34" s="34"/>
      <c r="R34" s="35"/>
      <c r="S34" s="35"/>
      <c r="Y34" s="31"/>
    </row>
    <row r="35" ht="15.75" customHeight="1">
      <c r="A35" s="32" t="s">
        <v>63</v>
      </c>
      <c r="E35" s="33"/>
      <c r="F35" s="34"/>
      <c r="R35" s="35"/>
      <c r="S35" s="35"/>
      <c r="Y35" s="31"/>
    </row>
    <row r="36" ht="15.75" customHeight="1">
      <c r="A36" s="32" t="s">
        <v>64</v>
      </c>
      <c r="E36" s="33"/>
      <c r="F36" s="34"/>
      <c r="S36" s="35"/>
      <c r="T36" s="35"/>
      <c r="Y36" s="31"/>
    </row>
    <row r="37" ht="15.75" customHeight="1">
      <c r="A37" s="32" t="s">
        <v>65</v>
      </c>
      <c r="E37" s="33"/>
      <c r="F37" s="34"/>
      <c r="U37" s="35"/>
      <c r="Y37" s="31"/>
    </row>
    <row r="38" ht="15.75" customHeight="1">
      <c r="A38" s="32" t="s">
        <v>66</v>
      </c>
      <c r="E38" s="33"/>
      <c r="F38" s="34"/>
      <c r="U38" s="35"/>
      <c r="Y38" s="31"/>
    </row>
    <row r="39" ht="15.75" customHeight="1">
      <c r="A39" s="32" t="s">
        <v>67</v>
      </c>
      <c r="E39" s="33"/>
      <c r="F39" s="34"/>
      <c r="U39" s="35"/>
      <c r="Y39" s="31"/>
    </row>
    <row r="40" ht="15.75" customHeight="1">
      <c r="A40" s="54" t="s">
        <v>68</v>
      </c>
      <c r="B40" s="25"/>
      <c r="C40" s="25"/>
      <c r="D40" s="26"/>
      <c r="E40" s="55">
        <v>46342.0</v>
      </c>
      <c r="F40" s="55">
        <v>46362.0</v>
      </c>
      <c r="U40" s="56"/>
      <c r="V40" s="57"/>
      <c r="W40" s="57"/>
      <c r="X40" s="57"/>
      <c r="Y40" s="31"/>
    </row>
    <row r="41" ht="15.75" customHeight="1">
      <c r="A41" s="32" t="s">
        <v>69</v>
      </c>
      <c r="E41" s="33"/>
      <c r="F41" s="34"/>
      <c r="V41" s="35"/>
      <c r="W41" s="35"/>
      <c r="Y41" s="31"/>
    </row>
    <row r="42" ht="15.75" customHeight="1">
      <c r="A42" s="32" t="s">
        <v>70</v>
      </c>
      <c r="E42" s="33"/>
      <c r="F42" s="34"/>
      <c r="V42" s="35"/>
      <c r="W42" s="35"/>
      <c r="Y42" s="31"/>
    </row>
    <row r="43" ht="15.75" customHeight="1">
      <c r="A43" s="32" t="s">
        <v>71</v>
      </c>
      <c r="E43" s="33"/>
      <c r="F43" s="34"/>
      <c r="V43" s="35"/>
      <c r="W43" s="35"/>
      <c r="X43" s="58"/>
    </row>
    <row r="44" ht="15.75" customHeight="1">
      <c r="A44" s="59" t="s">
        <v>72</v>
      </c>
      <c r="B44" s="9"/>
      <c r="C44" s="9"/>
      <c r="D44" s="14"/>
      <c r="E44" s="60"/>
      <c r="F44" s="60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8">
    <mergeCell ref="A1:D2"/>
    <mergeCell ref="E1:E2"/>
    <mergeCell ref="F1:F2"/>
    <mergeCell ref="G1:J1"/>
    <mergeCell ref="K1:U1"/>
    <mergeCell ref="V1:X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2:D32"/>
    <mergeCell ref="A31:D31"/>
    <mergeCell ref="A41:D41"/>
    <mergeCell ref="A42:D42"/>
    <mergeCell ref="A43:D43"/>
    <mergeCell ref="A44:D44"/>
    <mergeCell ref="A33:D33"/>
    <mergeCell ref="A35:D35"/>
    <mergeCell ref="A36:D36"/>
    <mergeCell ref="A37:D37"/>
    <mergeCell ref="A38:D38"/>
    <mergeCell ref="A39:D39"/>
    <mergeCell ref="A40:D40"/>
    <mergeCell ref="A34:D3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0"/>
    <col customWidth="1" min="2" max="2" width="75.0"/>
    <col customWidth="1" min="3" max="3" width="10.0"/>
    <col customWidth="1" min="4" max="4" width="13.0"/>
    <col customWidth="1" min="5" max="26" width="8.63"/>
  </cols>
  <sheetData>
    <row r="1">
      <c r="A1" s="1" t="s">
        <v>1</v>
      </c>
    </row>
    <row r="2">
      <c r="A2" s="3"/>
    </row>
    <row r="4">
      <c r="A4" s="6" t="s">
        <v>2</v>
      </c>
      <c r="B4" s="6" t="s">
        <v>4</v>
      </c>
      <c r="C4" s="6" t="s">
        <v>6</v>
      </c>
      <c r="D4" s="6" t="s">
        <v>7</v>
      </c>
    </row>
    <row r="5">
      <c r="A5" s="19" t="str">
        <f>Sheet1!$A$3</f>
        <v>SPRINT 0</v>
      </c>
      <c r="B5" s="22" t="str">
        <f>Sheet1!$A$4</f>
        <v>Definición de proyecto Capstone</v>
      </c>
      <c r="C5" s="24">
        <v>1.0</v>
      </c>
      <c r="D5" s="24" t="s">
        <v>30</v>
      </c>
    </row>
    <row r="6">
      <c r="A6" s="19" t="str">
        <f>Sheet1!$A$3</f>
        <v>SPRINT 0</v>
      </c>
      <c r="B6" s="22" t="str">
        <f>Sheet1!$A$5</f>
        <v>Realización evidencia de Autoevaluación Competencias F1</v>
      </c>
      <c r="C6" s="24">
        <v>1.0</v>
      </c>
      <c r="D6" s="24" t="s">
        <v>30</v>
      </c>
    </row>
    <row r="7">
      <c r="A7" s="19" t="str">
        <f>Sheet1!$A$3</f>
        <v>SPRINT 0</v>
      </c>
      <c r="B7" s="22" t="str">
        <f>Sheet1!$A$6</f>
        <v>Realización evidencia de Diario de Reflexión F1</v>
      </c>
      <c r="C7" s="24">
        <v>1.0</v>
      </c>
      <c r="D7" s="24" t="s">
        <v>30</v>
      </c>
    </row>
    <row r="8">
      <c r="A8" s="19" t="str">
        <f>Sheet1!$A$3</f>
        <v>SPRINT 0</v>
      </c>
      <c r="B8" s="22" t="str">
        <f>Sheet1!$A$7</f>
        <v>Junta con cliente (N°1)</v>
      </c>
      <c r="C8" s="24">
        <v>1.0</v>
      </c>
      <c r="D8" s="24" t="s">
        <v>30</v>
      </c>
    </row>
    <row r="9">
      <c r="A9" s="19" t="str">
        <f>Sheet1!$A$3</f>
        <v>SPRINT 0</v>
      </c>
      <c r="B9" s="22" t="str">
        <f>Sheet1!$A$8</f>
        <v>Levantamiento de requisitos</v>
      </c>
      <c r="C9" s="24">
        <v>1.0</v>
      </c>
      <c r="D9" s="24" t="s">
        <v>30</v>
      </c>
    </row>
    <row r="10">
      <c r="A10" s="19" t="str">
        <f>Sheet1!$A$3</f>
        <v>SPRINT 0</v>
      </c>
      <c r="B10" s="22" t="str">
        <f>Sheet1!$A$9</f>
        <v>Realización evidencia de Autoevaluación F1</v>
      </c>
      <c r="C10" s="24">
        <v>1.0</v>
      </c>
      <c r="D10" s="24" t="s">
        <v>30</v>
      </c>
    </row>
    <row r="11">
      <c r="A11" s="19" t="str">
        <f>Sheet1!$A$3</f>
        <v>SPRINT 0</v>
      </c>
      <c r="B11" s="22" t="str">
        <f>Sheet1!$A$10</f>
        <v>Creación de Historias de Usuario</v>
      </c>
      <c r="C11" s="24">
        <v>1.0</v>
      </c>
      <c r="D11" s="24" t="s">
        <v>30</v>
      </c>
    </row>
    <row r="12">
      <c r="A12" s="19" t="str">
        <f>Sheet1!$A$3</f>
        <v>SPRINT 0</v>
      </c>
      <c r="B12" s="22" t="str">
        <f>Sheet1!$A$11</f>
        <v>Creación de PPT1</v>
      </c>
      <c r="C12" s="24">
        <v>1.0</v>
      </c>
      <c r="D12" s="24" t="s">
        <v>30</v>
      </c>
    </row>
    <row r="13">
      <c r="A13" s="19" t="str">
        <f>Sheet1!$A$3</f>
        <v>SPRINT 0</v>
      </c>
      <c r="B13" s="22" t="str">
        <f>Sheet1!$A$12</f>
        <v>Realización evidencia de Guía Estudiante F1</v>
      </c>
      <c r="C13" s="24">
        <v>1.0</v>
      </c>
      <c r="D13" s="24" t="s">
        <v>30</v>
      </c>
    </row>
    <row r="14">
      <c r="A14" s="19" t="str">
        <f>Sheet1!$A$3</f>
        <v>SPRINT 0</v>
      </c>
      <c r="B14" s="22" t="str">
        <f>Sheet1!$A$13</f>
        <v>Estructurado de Product Backlog</v>
      </c>
      <c r="C14" s="24">
        <v>1.0</v>
      </c>
      <c r="D14" s="24" t="s">
        <v>30</v>
      </c>
    </row>
    <row r="15">
      <c r="A15" s="19" t="str">
        <f>Sheet1!$A$3</f>
        <v>SPRINT 0</v>
      </c>
      <c r="B15" s="22" t="str">
        <f>Sheet1!$A$14</f>
        <v>Configuración de repositorio GIT</v>
      </c>
      <c r="C15" s="24">
        <v>1.0</v>
      </c>
      <c r="D15" s="24" t="s">
        <v>30</v>
      </c>
    </row>
    <row r="16">
      <c r="A16" s="19" t="str">
        <f>Sheet1!$A$3</f>
        <v>SPRINT 0</v>
      </c>
      <c r="B16" s="22" t="str">
        <f>Sheet1!$A$15</f>
        <v>Configuración del backend/API</v>
      </c>
      <c r="C16" s="24">
        <v>1.0</v>
      </c>
      <c r="D16" s="24" t="s">
        <v>30</v>
      </c>
    </row>
    <row r="17">
      <c r="A17" s="19" t="str">
        <f>Sheet1!$A$3</f>
        <v>SPRINT 0</v>
      </c>
      <c r="B17" s="22" t="str">
        <f>Sheet1!$A$16</f>
        <v>Configuración del VPS/Servidor</v>
      </c>
      <c r="C17" s="24">
        <v>1.0</v>
      </c>
      <c r="D17" s="24" t="s">
        <v>30</v>
      </c>
    </row>
    <row r="18">
      <c r="A18" s="19" t="str">
        <f>Sheet1!$A$3</f>
        <v>SPRINT 0</v>
      </c>
      <c r="B18" s="22" t="str">
        <f>Sheet1!$A$17</f>
        <v>Implementación de políticas de seguridad y autenticación</v>
      </c>
      <c r="C18" s="24">
        <v>1.0</v>
      </c>
      <c r="D18" s="24" t="s">
        <v>30</v>
      </c>
    </row>
    <row r="19">
      <c r="A19" s="19" t="str">
        <f>Sheet1!$A$3</f>
        <v>SPRINT 0</v>
      </c>
      <c r="B19" s="22" t="str">
        <f>Sheet1!$A$18</f>
        <v>Planilla Evaluación F1</v>
      </c>
      <c r="C19" s="24">
        <v>1.0</v>
      </c>
      <c r="D19" s="24" t="s">
        <v>30</v>
      </c>
    </row>
    <row r="20">
      <c r="A20" s="19" t="str">
        <f>Sheet1!$A$3</f>
        <v>SPRINT 0</v>
      </c>
      <c r="B20" s="22" t="str">
        <f>Sheet1!$A$19</f>
        <v>Evaluación 1 (Hito 1)</v>
      </c>
      <c r="C20" s="24">
        <v>1.0</v>
      </c>
      <c r="D20" s="24" t="s">
        <v>30</v>
      </c>
    </row>
    <row r="21" ht="15.75" customHeight="1">
      <c r="A21" s="19" t="str">
        <f>Sheet1!$A$20</f>
        <v>SPRINT 1</v>
      </c>
      <c r="B21" s="22" t="str">
        <f>Sheet1!$A$21</f>
        <v>Diseñar y crear modelo Relacional/No Relacional</v>
      </c>
      <c r="C21" s="24">
        <v>1.0</v>
      </c>
      <c r="D21" s="24" t="s">
        <v>30</v>
      </c>
    </row>
    <row r="22" ht="15.75" customHeight="1">
      <c r="A22" s="19" t="str">
        <f>Sheet1!$A$20</f>
        <v>SPRINT 1</v>
      </c>
      <c r="B22" s="22" t="str">
        <f>Sheet1!$A$22</f>
        <v>Registro de productos iniciales en base de datos (prueba)</v>
      </c>
      <c r="C22" s="24">
        <v>1.0</v>
      </c>
      <c r="D22" s="24" t="s">
        <v>30</v>
      </c>
    </row>
    <row r="23" ht="15.75" customHeight="1">
      <c r="A23" s="19" t="str">
        <f>Sheet1!$A$20</f>
        <v>SPRINT 1</v>
      </c>
      <c r="B23" s="22" t="str">
        <f>Sheet1!$A$23</f>
        <v>Implementación de servicios backend</v>
      </c>
      <c r="C23" s="24">
        <v>1.0</v>
      </c>
      <c r="D23" s="49" t="s">
        <v>60</v>
      </c>
    </row>
    <row r="24" ht="15.75" customHeight="1">
      <c r="A24" s="19" t="str">
        <f>Sheet1!$A$20</f>
        <v>SPRINT 1</v>
      </c>
      <c r="B24" s="22" t="str">
        <f>Sheet1!$A$24</f>
        <v>Implementación de vistas para usuario en tiempo real</v>
      </c>
      <c r="C24" s="24">
        <v>1.0</v>
      </c>
      <c r="D24" s="49" t="s">
        <v>60</v>
      </c>
    </row>
    <row r="25" ht="15.75" customHeight="1">
      <c r="A25" s="19" t="str">
        <f>Sheet1!$A$20</f>
        <v>SPRINT 1</v>
      </c>
      <c r="B25" s="22" t="str">
        <f>Sheet1!$A$25</f>
        <v>Junta con cliente (N°2)</v>
      </c>
      <c r="C25" s="24">
        <v>1.0</v>
      </c>
      <c r="D25" s="24" t="s">
        <v>30</v>
      </c>
    </row>
    <row r="26" ht="15.75" customHeight="1">
      <c r="A26" s="19" t="str">
        <f>Sheet1!$A$26</f>
        <v>SPRINT 2</v>
      </c>
      <c r="B26" s="22" t="str">
        <f>Sheet1!$A$27</f>
        <v>Construir script automatizado para extracción de precios y actualización automatica en la base de datos</v>
      </c>
      <c r="C26" s="24">
        <v>1.0</v>
      </c>
      <c r="D26" s="24" t="s">
        <v>60</v>
      </c>
    </row>
    <row r="27" ht="15.75" customHeight="1">
      <c r="A27" s="19" t="str">
        <f>Sheet1!$A$26</f>
        <v>SPRINT 2</v>
      </c>
      <c r="B27" s="22" t="str">
        <f>Sheet1!$A$28</f>
        <v>Desarrollar aplicación móvil conectada a API </v>
      </c>
      <c r="C27" s="24">
        <v>1.0</v>
      </c>
      <c r="D27" s="24" t="s">
        <v>60</v>
      </c>
    </row>
    <row r="28" ht="15.75" customHeight="1">
      <c r="A28" s="19" t="str">
        <f>Sheet1!$A$26</f>
        <v>SPRINT 2</v>
      </c>
      <c r="B28" s="22" t="str">
        <f>Sheet1!$A$29</f>
        <v>Evaluación 2 (Hito 2)</v>
      </c>
      <c r="C28" s="24">
        <v>1.0</v>
      </c>
      <c r="D28" s="24" t="s">
        <v>60</v>
      </c>
    </row>
    <row r="29" ht="15.75" customHeight="1">
      <c r="A29" s="19" t="str">
        <f>Sheet1!$A$26</f>
        <v>SPRINT 2</v>
      </c>
      <c r="B29" s="22" t="str">
        <f>Sheet1!$A$30</f>
        <v>Configurar envío de notificaciones "push" ante ofertas o cambios de precio</v>
      </c>
      <c r="C29" s="24">
        <v>1.0</v>
      </c>
      <c r="D29" s="24" t="s">
        <v>60</v>
      </c>
    </row>
    <row r="30" ht="15.75" customHeight="1">
      <c r="A30" s="19" t="str">
        <f>Sheet1!$A$26</f>
        <v>SPRINT 2</v>
      </c>
      <c r="B30" s="22" t="str">
        <f>Sheet1!$A$31</f>
        <v>Creación función de escaneo de codigo de barras</v>
      </c>
      <c r="C30" s="49">
        <v>1.0</v>
      </c>
      <c r="D30" s="49" t="s">
        <v>60</v>
      </c>
    </row>
    <row r="31" ht="15.75" customHeight="1">
      <c r="A31" s="19" t="str">
        <f>Sheet1!$A$26</f>
        <v>SPRINT 2</v>
      </c>
      <c r="B31" s="22" t="str">
        <f>Sheet1!$A$32</f>
        <v>Junta con cliente (N°3)</v>
      </c>
      <c r="C31" s="24">
        <v>1.0</v>
      </c>
      <c r="D31" s="24" t="s">
        <v>60</v>
      </c>
    </row>
    <row r="32" ht="15.75" customHeight="1">
      <c r="A32" s="19" t="str">
        <f>Sheet1!$A$33</f>
        <v>SPRINT 3</v>
      </c>
      <c r="B32" s="22" t="str">
        <f>Sheet1!$A$34</f>
        <v>Configurar notificaciones de falta stock en la pagina del proveedor</v>
      </c>
      <c r="C32" s="49">
        <v>1.0</v>
      </c>
      <c r="D32" s="49" t="s">
        <v>60</v>
      </c>
    </row>
    <row r="33" ht="15.75" customHeight="1">
      <c r="A33" s="19" t="str">
        <f>Sheet1!$A$33</f>
        <v>SPRINT 3</v>
      </c>
      <c r="B33" s="22" t="str">
        <f>Sheet1!$A$35</f>
        <v>Desarrollar agente de IA de reconocimiento de voz</v>
      </c>
      <c r="C33" s="24">
        <v>1.0</v>
      </c>
      <c r="D33" s="24" t="s">
        <v>60</v>
      </c>
    </row>
    <row r="34" ht="15.75" customHeight="1">
      <c r="A34" s="19" t="str">
        <f>Sheet1!$A$33</f>
        <v>SPRINT 3</v>
      </c>
      <c r="B34" s="22" t="str">
        <f>Sheet1!$A$36</f>
        <v>Implementar agente de IA de reconocimiento de voz para resolver consultas</v>
      </c>
      <c r="C34" s="24">
        <v>1.0</v>
      </c>
      <c r="D34" s="24" t="s">
        <v>60</v>
      </c>
    </row>
    <row r="35" ht="15.75" customHeight="1">
      <c r="A35" s="19" t="str">
        <f>Sheet1!$A$33</f>
        <v>SPRINT 3</v>
      </c>
      <c r="B35" s="22" t="str">
        <f>Sheet1!$A$37</f>
        <v>Ejecución de pruebas unitarias entre plataformas</v>
      </c>
      <c r="C35" s="24">
        <v>1.0</v>
      </c>
      <c r="D35" s="24" t="s">
        <v>60</v>
      </c>
    </row>
    <row r="36" ht="15.75" customHeight="1">
      <c r="A36" s="19" t="str">
        <f>Sheet1!$A$33</f>
        <v>SPRINT 3</v>
      </c>
      <c r="B36" s="22" t="str">
        <f>Sheet1!$A$38</f>
        <v>Ejecución de pruebas de carga</v>
      </c>
      <c r="C36" s="24">
        <v>1.0</v>
      </c>
      <c r="D36" s="24" t="s">
        <v>60</v>
      </c>
    </row>
    <row r="37" ht="15.75" customHeight="1">
      <c r="A37" s="19" t="str">
        <f>Sheet1!$A$33</f>
        <v>SPRINT 3</v>
      </c>
      <c r="B37" s="22" t="str">
        <f>Sheet1!$A$39</f>
        <v>Junta con cliente (N°4)</v>
      </c>
      <c r="C37" s="24">
        <v>1.0</v>
      </c>
      <c r="D37" s="24" t="s">
        <v>60</v>
      </c>
    </row>
    <row r="38" ht="15.75" customHeight="1">
      <c r="A38" s="19" t="str">
        <f>Sheet1!$A$40</f>
        <v>SPRINT 4</v>
      </c>
      <c r="B38" s="22" t="str">
        <f>Sheet1!$A$41</f>
        <v>Redacción de informe final</v>
      </c>
      <c r="C38" s="24">
        <v>1.0</v>
      </c>
      <c r="D38" s="24" t="s">
        <v>60</v>
      </c>
    </row>
    <row r="39" ht="15.75" customHeight="1">
      <c r="A39" s="19" t="str">
        <f>Sheet1!$A$40</f>
        <v>SPRINT 4</v>
      </c>
      <c r="B39" s="22" t="str">
        <f>Sheet1!$A$42</f>
        <v>Creación de manual de usuario y guía de despliegue</v>
      </c>
      <c r="C39" s="24">
        <v>1.0</v>
      </c>
      <c r="D39" s="24" t="s">
        <v>60</v>
      </c>
    </row>
    <row r="40" ht="15.75" customHeight="1">
      <c r="A40" s="19" t="str">
        <f>Sheet1!$A$40</f>
        <v>SPRINT 4</v>
      </c>
      <c r="B40" s="22" t="str">
        <f>Sheet1!$A$43</f>
        <v>Preparación de la presentación y defensa</v>
      </c>
      <c r="C40" s="24">
        <v>1.0</v>
      </c>
      <c r="D40" s="24" t="s">
        <v>60</v>
      </c>
    </row>
    <row r="41" ht="15.75" customHeight="1">
      <c r="A41" s="19" t="str">
        <f>Sheet1!$A$40</f>
        <v>SPRINT 4</v>
      </c>
      <c r="B41" s="22" t="str">
        <f>Sheet1!$A$44</f>
        <v>Evaluación 3 (Hito 3)</v>
      </c>
      <c r="C41" s="24">
        <v>1.0</v>
      </c>
      <c r="D41" s="24" t="s">
        <v>60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decimal" operator="greaterThanOrEqual" allowBlank="1" sqref="C5:C41">
      <formula1>0.0</formula1>
    </dataValidation>
    <dataValidation type="list" allowBlank="1" sqref="D5:D41">
      <formula1>"Hecho,Pendiente"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2.0"/>
    <col customWidth="1" min="3" max="4" width="14.0"/>
    <col customWidth="1" min="5" max="6" width="16.0"/>
    <col customWidth="1" min="7" max="7" width="3.0"/>
    <col customWidth="1" min="8" max="8" width="18.0"/>
    <col customWidth="1" min="9" max="9" width="10.0"/>
    <col customWidth="1" min="10" max="26" width="8.63"/>
  </cols>
  <sheetData>
    <row r="1">
      <c r="A1" s="1" t="s">
        <v>73</v>
      </c>
    </row>
    <row r="2">
      <c r="A2" s="3" t="s">
        <v>74</v>
      </c>
    </row>
    <row r="4" ht="30.0" customHeight="1">
      <c r="A4" s="6" t="s">
        <v>75</v>
      </c>
      <c r="B4" s="6" t="s">
        <v>76</v>
      </c>
      <c r="C4" s="6" t="s">
        <v>77</v>
      </c>
      <c r="D4" s="6" t="s">
        <v>78</v>
      </c>
      <c r="E4" s="6" t="s">
        <v>79</v>
      </c>
      <c r="F4" s="6" t="s">
        <v>80</v>
      </c>
      <c r="H4" s="63" t="s">
        <v>81</v>
      </c>
      <c r="I4" s="64"/>
    </row>
    <row r="5">
      <c r="A5" s="65" t="s">
        <v>82</v>
      </c>
      <c r="B5" s="66">
        <f>Sheet1!$E$3</f>
        <v>46244</v>
      </c>
      <c r="C5" s="67"/>
      <c r="D5" s="67"/>
      <c r="E5" s="67">
        <f>SUM(Tareas!$C$5:$C$41)</f>
        <v>37</v>
      </c>
      <c r="F5" s="67">
        <f>E5</f>
        <v>37</v>
      </c>
      <c r="H5" s="68" t="s">
        <v>83</v>
      </c>
      <c r="I5" s="69">
        <f>E5</f>
        <v>37</v>
      </c>
    </row>
    <row r="6">
      <c r="A6" s="70" t="s">
        <v>84</v>
      </c>
      <c r="B6" s="66">
        <f>Sheet1!$F$3</f>
        <v>46271</v>
      </c>
      <c r="C6" s="67">
        <f>SUMIFS(Tareas!$C$5:$C$41,Tareas!$A$5:$A$41,$A6)</f>
        <v>16</v>
      </c>
      <c r="D6" s="67">
        <f>SUMIFS(Tareas!$C$5:$C$41,Tareas!$A$5:$A$41,$A6,Tareas!$D$5:$D$41,"Hecho")</f>
        <v>16</v>
      </c>
      <c r="E6" s="67">
        <f t="shared" ref="E6:E10" si="1">E5-C6</f>
        <v>21</v>
      </c>
      <c r="F6" s="67">
        <f t="shared" ref="F6:F7" si="2">$E$5-SUM($D$6:D6)</f>
        <v>21</v>
      </c>
      <c r="H6" s="68" t="s">
        <v>85</v>
      </c>
      <c r="I6" s="69">
        <f>SUM(D6:D10)</f>
        <v>19</v>
      </c>
    </row>
    <row r="7">
      <c r="A7" s="70" t="s">
        <v>86</v>
      </c>
      <c r="B7" s="66">
        <f>Sheet1!$F$20</f>
        <v>46292</v>
      </c>
      <c r="C7" s="67">
        <f>SUMIFS(Tareas!$C$5:$C$41,Tareas!$A$5:$A$41,$A7)</f>
        <v>5</v>
      </c>
      <c r="D7" s="67">
        <f>SUMIFS(Tareas!$C$5:$C$41,Tareas!$A$5:$A$41,$A7,Tareas!$D$5:$D$41,"Hecho")</f>
        <v>3</v>
      </c>
      <c r="E7" s="67">
        <f t="shared" si="1"/>
        <v>16</v>
      </c>
      <c r="F7" s="67">
        <f t="shared" si="2"/>
        <v>18</v>
      </c>
      <c r="H7" s="68" t="s">
        <v>87</v>
      </c>
      <c r="I7" s="69">
        <f>I5-I6</f>
        <v>18</v>
      </c>
    </row>
    <row r="8">
      <c r="A8" s="70" t="s">
        <v>88</v>
      </c>
      <c r="B8" s="66">
        <f>Sheet1!$F$26</f>
        <v>46320</v>
      </c>
      <c r="C8" s="67">
        <f>SUMIFS(Tareas!$C$5:$C$41,Tareas!$A$5:$A$41,$A8)</f>
        <v>6</v>
      </c>
      <c r="D8" s="67">
        <f>SUMIFS(Tareas!$C$5:$C$41,Tareas!$A$5:$A$41,$A8,Tareas!$D$5:$D$41,"Hecho")</f>
        <v>0</v>
      </c>
      <c r="E8" s="67">
        <f t="shared" si="1"/>
        <v>10</v>
      </c>
      <c r="F8" s="71"/>
      <c r="H8" s="68" t="s">
        <v>89</v>
      </c>
      <c r="I8" s="69">
        <f>IF(I5=0,0,I6/I5)</f>
        <v>0.5135135135</v>
      </c>
    </row>
    <row r="9">
      <c r="A9" s="70" t="s">
        <v>90</v>
      </c>
      <c r="B9" s="66">
        <f>Sheet1!$F$33</f>
        <v>46341</v>
      </c>
      <c r="C9" s="67">
        <f>SUMIFS(Tareas!$C$5:$C$41,Tareas!$A$5:$A$41,$A9)</f>
        <v>6</v>
      </c>
      <c r="D9" s="67">
        <f>SUMIFS(Tareas!$C$5:$C$41,Tareas!$A$5:$A$41,$A9,Tareas!$D$5:$D$41,"Hecho")</f>
        <v>0</v>
      </c>
      <c r="E9" s="67">
        <f t="shared" si="1"/>
        <v>4</v>
      </c>
      <c r="F9" s="71"/>
    </row>
    <row r="10">
      <c r="A10" s="70" t="s">
        <v>91</v>
      </c>
      <c r="B10" s="66">
        <f>Sheet1!$F$40</f>
        <v>46362</v>
      </c>
      <c r="C10" s="67">
        <f>SUMIFS(Tareas!$C$5:$C$41,Tareas!$A$5:$A$41,$A10)</f>
        <v>4</v>
      </c>
      <c r="D10" s="67">
        <f>SUMIFS(Tareas!$C$5:$C$41,Tareas!$A$5:$A$41,$A10,Tareas!$D$5:$D$41,"Hecho")</f>
        <v>0</v>
      </c>
      <c r="E10" s="67">
        <f t="shared" si="1"/>
        <v>0</v>
      </c>
      <c r="F10" s="71"/>
    </row>
    <row r="12">
      <c r="A12" s="72"/>
    </row>
    <row r="13">
      <c r="A13" s="3"/>
    </row>
    <row r="14">
      <c r="A14" s="3"/>
    </row>
    <row r="15">
      <c r="A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2026-08-22T22:26:59Z</dcterms:created>
  <dc:creator>HECTOR ALONZO ROMERO VILLEGAS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0x0101001A53D82CE2EA444F8C1386DECD75D215</vt:lpwstr>
  </property>
</Properties>
</file>