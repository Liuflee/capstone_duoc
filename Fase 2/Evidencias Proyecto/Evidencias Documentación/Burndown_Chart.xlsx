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mir\Downloads\"/>
    </mc:Choice>
  </mc:AlternateContent>
  <xr:revisionPtr revIDLastSave="0" documentId="13_ncr:1_{6323A5D5-FB9B-4492-B7C4-CB08B3934F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Tareas" sheetId="2" r:id="rId2"/>
    <sheet name="Burndown S0" sheetId="3" r:id="rId3"/>
    <sheet name="Burndown S1" sheetId="4" r:id="rId4"/>
    <sheet name="Burndown S2" sheetId="5" r:id="rId5"/>
    <sheet name="Burndown S3" sheetId="6" r:id="rId6"/>
    <sheet name="Burndown S4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7" l="1"/>
  <c r="H6" i="7"/>
  <c r="H5" i="7"/>
  <c r="H7" i="6"/>
  <c r="H6" i="6"/>
  <c r="H5" i="6"/>
  <c r="H6" i="5"/>
  <c r="H5" i="5"/>
  <c r="H7" i="4"/>
  <c r="H6" i="4"/>
  <c r="B6" i="4"/>
  <c r="H5" i="4"/>
  <c r="B5" i="4"/>
  <c r="H7" i="3"/>
  <c r="H6" i="3"/>
  <c r="B6" i="3"/>
  <c r="H5" i="3"/>
  <c r="B5" i="3"/>
  <c r="F41" i="2"/>
  <c r="B41" i="2"/>
  <c r="A41" i="2"/>
  <c r="F40" i="2"/>
  <c r="B40" i="2"/>
  <c r="A40" i="2"/>
  <c r="F39" i="2"/>
  <c r="B39" i="2"/>
  <c r="A39" i="2"/>
  <c r="F38" i="2"/>
  <c r="B38" i="2"/>
  <c r="A38" i="2"/>
  <c r="F37" i="2"/>
  <c r="B37" i="2"/>
  <c r="A37" i="2"/>
  <c r="F36" i="2"/>
  <c r="B36" i="2"/>
  <c r="A36" i="2"/>
  <c r="F35" i="2"/>
  <c r="B35" i="2"/>
  <c r="A35" i="2"/>
  <c r="F34" i="2"/>
  <c r="B34" i="2"/>
  <c r="A34" i="2"/>
  <c r="F33" i="2"/>
  <c r="B33" i="2"/>
  <c r="A33" i="2"/>
  <c r="F32" i="2"/>
  <c r="B32" i="2"/>
  <c r="A32" i="2"/>
  <c r="F31" i="2"/>
  <c r="B31" i="2"/>
  <c r="A31" i="2"/>
  <c r="F30" i="2"/>
  <c r="B30" i="2"/>
  <c r="A30" i="2"/>
  <c r="F29" i="2"/>
  <c r="B29" i="2"/>
  <c r="A29" i="2"/>
  <c r="F28" i="2"/>
  <c r="B28" i="2"/>
  <c r="A28" i="2"/>
  <c r="F27" i="2"/>
  <c r="B27" i="2"/>
  <c r="A27" i="2"/>
  <c r="F26" i="2"/>
  <c r="B26" i="2"/>
  <c r="A26" i="2"/>
  <c r="B25" i="2"/>
  <c r="A25" i="2"/>
  <c r="F25" i="2" s="1"/>
  <c r="B24" i="2"/>
  <c r="A24" i="2"/>
  <c r="F24" i="2" s="1"/>
  <c r="B23" i="2"/>
  <c r="A23" i="2"/>
  <c r="F23" i="2" s="1"/>
  <c r="B22" i="2"/>
  <c r="A22" i="2"/>
  <c r="F22" i="2" s="1"/>
  <c r="B21" i="2"/>
  <c r="A21" i="2"/>
  <c r="F21" i="2" s="1"/>
  <c r="B20" i="2"/>
  <c r="A20" i="2"/>
  <c r="F20" i="2" s="1"/>
  <c r="B19" i="2"/>
  <c r="A19" i="2"/>
  <c r="F19" i="2" s="1"/>
  <c r="B18" i="2"/>
  <c r="A18" i="2"/>
  <c r="F18" i="2" s="1"/>
  <c r="B17" i="2"/>
  <c r="A17" i="2"/>
  <c r="F17" i="2" s="1"/>
  <c r="B16" i="2"/>
  <c r="A16" i="2"/>
  <c r="F16" i="2" s="1"/>
  <c r="B15" i="2"/>
  <c r="A15" i="2"/>
  <c r="F15" i="2" s="1"/>
  <c r="B14" i="2"/>
  <c r="A14" i="2"/>
  <c r="F14" i="2" s="1"/>
  <c r="B13" i="2"/>
  <c r="A13" i="2"/>
  <c r="F13" i="2" s="1"/>
  <c r="B12" i="2"/>
  <c r="A12" i="2"/>
  <c r="F12" i="2" s="1"/>
  <c r="B11" i="2"/>
  <c r="A11" i="2"/>
  <c r="F11" i="2" s="1"/>
  <c r="B10" i="2"/>
  <c r="A10" i="2"/>
  <c r="F10" i="2" s="1"/>
  <c r="B9" i="2"/>
  <c r="A9" i="2"/>
  <c r="F9" i="2" s="1"/>
  <c r="B8" i="2"/>
  <c r="A8" i="2"/>
  <c r="F8" i="2" s="1"/>
  <c r="B7" i="2"/>
  <c r="A7" i="2"/>
  <c r="F7" i="2" s="1"/>
  <c r="B6" i="2"/>
  <c r="A6" i="2"/>
  <c r="F6" i="2" s="1"/>
  <c r="B5" i="2"/>
  <c r="A5" i="2"/>
  <c r="F5" i="2" s="1"/>
  <c r="H9" i="4" l="1"/>
  <c r="C6" i="3"/>
  <c r="C6" i="4"/>
  <c r="B7" i="7"/>
  <c r="C7" i="7" s="1"/>
  <c r="E7" i="7" s="1"/>
  <c r="B5" i="7"/>
  <c r="B8" i="7"/>
  <c r="C8" i="7" s="1"/>
  <c r="E8" i="7" s="1"/>
  <c r="B6" i="7"/>
  <c r="C6" i="7" s="1"/>
  <c r="E6" i="7" s="1"/>
  <c r="H9" i="7"/>
  <c r="H8" i="7"/>
  <c r="B7" i="6"/>
  <c r="C7" i="6" s="1"/>
  <c r="E7" i="6" s="1"/>
  <c r="B8" i="6"/>
  <c r="C8" i="6" s="1"/>
  <c r="E8" i="6" s="1"/>
  <c r="B5" i="6"/>
  <c r="B6" i="6"/>
  <c r="C6" i="6" s="1"/>
  <c r="E6" i="6" s="1"/>
  <c r="H9" i="6"/>
  <c r="H8" i="6"/>
  <c r="B9" i="5"/>
  <c r="E9" i="5" s="1"/>
  <c r="B6" i="5"/>
  <c r="B8" i="5"/>
  <c r="B5" i="5"/>
  <c r="B7" i="5"/>
  <c r="H9" i="5"/>
  <c r="H8" i="5"/>
  <c r="B7" i="4"/>
  <c r="C7" i="4" s="1"/>
  <c r="B8" i="4"/>
  <c r="C8" i="4" s="1"/>
  <c r="H8" i="4"/>
  <c r="B9" i="3"/>
  <c r="C9" i="3" s="1"/>
  <c r="B7" i="3"/>
  <c r="C7" i="3" s="1"/>
  <c r="B8" i="3"/>
  <c r="C8" i="3" s="1"/>
  <c r="H8" i="3"/>
  <c r="D5" i="3" s="1"/>
  <c r="H9" i="3"/>
  <c r="E6" i="5" l="1"/>
  <c r="E8" i="5"/>
  <c r="E7" i="5"/>
  <c r="D6" i="4"/>
  <c r="H11" i="4"/>
  <c r="H10" i="7"/>
  <c r="H11" i="7"/>
  <c r="D7" i="7"/>
  <c r="D5" i="7"/>
  <c r="E5" i="7"/>
  <c r="D6" i="7"/>
  <c r="D8" i="7"/>
  <c r="H10" i="6"/>
  <c r="H11" i="6"/>
  <c r="D6" i="6"/>
  <c r="D7" i="6"/>
  <c r="D5" i="6"/>
  <c r="E5" i="6"/>
  <c r="D8" i="6"/>
  <c r="H10" i="5"/>
  <c r="H11" i="5"/>
  <c r="D5" i="5"/>
  <c r="E5" i="5"/>
  <c r="H10" i="4"/>
  <c r="D5" i="4"/>
  <c r="E5" i="4"/>
  <c r="D7" i="4"/>
  <c r="D8" i="4"/>
  <c r="D9" i="3"/>
  <c r="E5" i="3"/>
  <c r="H10" i="3"/>
  <c r="H11" i="3"/>
  <c r="D6" i="3"/>
  <c r="D7" i="3"/>
  <c r="D8" i="3"/>
  <c r="E9" i="3"/>
  <c r="H7" i="5"/>
  <c r="D8" i="5"/>
  <c r="D6" i="5" l="1"/>
  <c r="D9" i="5"/>
  <c r="D7" i="5"/>
</calcChain>
</file>

<file path=xl/sharedStrings.xml><?xml version="1.0" encoding="utf-8"?>
<sst xmlns="http://schemas.openxmlformats.org/spreadsheetml/2006/main" count="213" uniqueCount="100">
  <si>
    <t>ACTIVIDAD</t>
  </si>
  <si>
    <t>FECHA INICIO</t>
  </si>
  <si>
    <t>FECHA FIN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</si>
  <si>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</si>
  <si>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</si>
  <si>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</si>
  <si>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</si>
  <si>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</si>
  <si>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</si>
  <si>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</si>
  <si>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</si>
  <si>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</si>
  <si>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</si>
  <si>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</si>
  <si>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</si>
  <si>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</si>
  <si>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</si>
  <si>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</si>
  <si>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</si>
  <si>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</si>
  <si>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</si>
  <si>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</si>
  <si>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</si>
  <si>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</si>
  <si>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</t>
  </si>
  <si>
    <t>Definición de proyecto Capstone</t>
  </si>
  <si>
    <t>Realización evidencia de Autoevaluación Competencias F1</t>
  </si>
  <si>
    <t>Realización evidencia de Diario de Reflexión F1</t>
  </si>
  <si>
    <t>Junta con cliente (N°1)</t>
  </si>
  <si>
    <t>Levantamiento de requisitos</t>
  </si>
  <si>
    <t>Realización evidencia de Autoevaluación F1</t>
  </si>
  <si>
    <t>Creación de Historias de Usuario</t>
  </si>
  <si>
    <t>Creación de PPT1</t>
  </si>
  <si>
    <t>Realización evidencia de Guía Estudiante F1</t>
  </si>
  <si>
    <t>Estructurado de Product Backlog</t>
  </si>
  <si>
    <t>Configuración de repositorio GIT</t>
  </si>
  <si>
    <t>Configuración del backend/API</t>
  </si>
  <si>
    <t>Configuración del VPS/Servidor</t>
  </si>
  <si>
    <t>Implementación de políticas de seguridad y autenticación</t>
  </si>
  <si>
    <t>Planilla Evaluación F1</t>
  </si>
  <si>
    <t>Evaluación 1 (Hito 1)</t>
  </si>
  <si>
    <t>SPRINT 1</t>
  </si>
  <si>
    <t>Diseñar y crear modelo Relacional/No Relacional</t>
  </si>
  <si>
    <t>Registro de productos iniciales en base de datos (prueba)</t>
  </si>
  <si>
    <t>Implementación de servicios backend</t>
  </si>
  <si>
    <t>Implementación de vistas para usuario en tiempo real</t>
  </si>
  <si>
    <t>Junta con cliente (N°2)</t>
  </si>
  <si>
    <t>SPRINT 2</t>
  </si>
  <si>
    <t>Evaluación 2 (Hito 2)</t>
  </si>
  <si>
    <t>Configurar envío de notificaciones "push" ante ofertas o cambios de precio</t>
  </si>
  <si>
    <t>Creación función de escaneo de codigo de barras</t>
  </si>
  <si>
    <t>Junta con cliente (N°3)</t>
  </si>
  <si>
    <t>SPRINT 3</t>
  </si>
  <si>
    <t>Configurar notificaciones de falta stock en la pagina del proveedor</t>
  </si>
  <si>
    <t>Desarrollar agente de IA de reconocimiento de voz</t>
  </si>
  <si>
    <t>Implementar agente de IA de reconocimiento de voz para resolver consultas</t>
  </si>
  <si>
    <t>Ejecución de pruebas unitarias entre plataformas</t>
  </si>
  <si>
    <t>Ejecución de pruebas de carga</t>
  </si>
  <si>
    <t>Junta con cliente (N°4)</t>
  </si>
  <si>
    <t>SPRINT 4</t>
  </si>
  <si>
    <t>Redacción de informe final</t>
  </si>
  <si>
    <t>Creación de manual de usuario y guía de despliegue</t>
  </si>
  <si>
    <t>Preparación de la presentación y defensa</t>
  </si>
  <si>
    <t>Evaluación 3 (Hito 3)</t>
  </si>
  <si>
    <t>Tareas del proyecto Capstone</t>
  </si>
  <si>
    <t>Fecha de término (opcional): si una tarea está 'Hecho' y no tiene fecha, se asume que terminó el último día de su sprint.</t>
  </si>
  <si>
    <t>Sprint</t>
  </si>
  <si>
    <t>Actividad</t>
  </si>
  <si>
    <t>Puntos</t>
  </si>
  <si>
    <t>Estado</t>
  </si>
  <si>
    <t>Fecha de término</t>
  </si>
  <si>
    <t>Fecha considerada</t>
  </si>
  <si>
    <t>Hecho</t>
  </si>
  <si>
    <t>Pendiente</t>
  </si>
  <si>
    <t>Burndown Chart – Sprint 0</t>
  </si>
  <si>
    <t>Unidad: puntos de esfuerzo (1 punto = 1 actividad por defecto; se edita en la hoja 'Tareas'). Real = puntos pendientes al cierre de cada semana.</t>
  </si>
  <si>
    <t>Punto de medición</t>
  </si>
  <si>
    <t>Fecha</t>
  </si>
  <si>
    <t>Puntos completados (acum.)</t>
  </si>
  <si>
    <t>Restante – Ideal</t>
  </si>
  <si>
    <t>Restante – Real</t>
  </si>
  <si>
    <t>Resumen</t>
  </si>
  <si>
    <t>Inicio</t>
  </si>
  <si>
    <t>Semana 1</t>
  </si>
  <si>
    <t>Fecha inicio</t>
  </si>
  <si>
    <t>Semana 2</t>
  </si>
  <si>
    <t>Fecha fin</t>
  </si>
  <si>
    <t>Semana 3</t>
  </si>
  <si>
    <t>Total de puntos</t>
  </si>
  <si>
    <t>Semana 4</t>
  </si>
  <si>
    <t>Completados</t>
  </si>
  <si>
    <t>Restantes</t>
  </si>
  <si>
    <t>Notas: 'Ideal' baja linealmente hasta 0 al fin del sprint. Los puntos futuros quedan ocultos se rellenan solos a medida que pasa el tiempo.</t>
  </si>
  <si>
    <t>Avance</t>
  </si>
  <si>
    <t>Burndown Chart – Sprint 1</t>
  </si>
  <si>
    <t>Burndown Chart – Sprint 2</t>
  </si>
  <si>
    <t>Burndown Chart – Sprint 3</t>
  </si>
  <si>
    <t>Burndown Chart – Sprint 4</t>
  </si>
  <si>
    <t>Desarrollar aplicación móvil</t>
  </si>
  <si>
    <t>Construir script automatizado para webscraping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</si>
</sst>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\-yyyy"/>
    <numFmt numFmtId="165" formatCode="dd\-mm\-yyyy"/>
    <numFmt numFmtId="166" formatCode="0.0"/>
  </numFmts>
  <fonts count="16" x14ac:knownFonts="1"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b/>
      <sz val="11"/>
      <color rgb="FF000000"/>
      <name val="Arial"/>
      <charset val="1"/>
    </font>
    <font>
      <b/>
      <sz val="14"/>
      <color theme="1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7C80"/>
        <bgColor rgb="FFCE86AB"/>
      </patternFill>
    </fill>
    <fill>
      <patternFill patternType="solid">
        <fgColor rgb="FF6D9EEB"/>
        <bgColor rgb="FF8E7CC3"/>
      </patternFill>
    </fill>
    <fill>
      <patternFill patternType="solid">
        <fgColor rgb="FF47D45A"/>
        <bgColor rgb="FF93C47D"/>
      </patternFill>
    </fill>
    <fill>
      <patternFill patternType="solid">
        <fgColor rgb="FF93C47D"/>
        <bgColor rgb="FFBFBFBF"/>
      </patternFill>
    </fill>
    <fill>
      <patternFill patternType="solid">
        <fgColor rgb="FFEAD1DC"/>
        <bgColor rgb="FFD9D9D9"/>
      </patternFill>
    </fill>
    <fill>
      <patternFill patternType="solid">
        <fgColor rgb="FF9FC5E8"/>
        <bgColor rgb="FFBFBFBF"/>
      </patternFill>
    </fill>
    <fill>
      <patternFill patternType="solid">
        <fgColor rgb="FFFFFFFF"/>
        <bgColor rgb="FFFFF2CC"/>
      </patternFill>
    </fill>
    <fill>
      <patternFill patternType="solid">
        <fgColor rgb="FF8E7CC3"/>
        <bgColor rgb="FF8B8B8B"/>
      </patternFill>
    </fill>
    <fill>
      <patternFill patternType="solid">
        <fgColor rgb="FFD5A6BD"/>
        <bgColor rgb="FFBFBFBF"/>
      </patternFill>
    </fill>
    <fill>
      <patternFill patternType="solid">
        <fgColor rgb="FFCE86AB"/>
        <bgColor rgb="FFC86797"/>
      </patternFill>
    </fill>
    <fill>
      <patternFill patternType="solid">
        <fgColor rgb="FFC86797"/>
        <bgColor rgb="FFB95F8B"/>
      </patternFill>
    </fill>
    <fill>
      <patternFill patternType="solid">
        <fgColor rgb="FFB95F8B"/>
        <bgColor rgb="FFC86797"/>
      </patternFill>
    </fill>
    <fill>
      <patternFill patternType="solid">
        <fgColor rgb="FFFFF2CC"/>
        <bgColor rgb="FFFFFFFF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64" fontId="3" fillId="8" borderId="6" xfId="0" applyNumberFormat="1" applyFont="1" applyFill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164" fontId="3" fillId="10" borderId="6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0" fontId="0" fillId="11" borderId="0" xfId="0" applyFill="1"/>
    <xf numFmtId="164" fontId="3" fillId="12" borderId="6" xfId="0" applyNumberFormat="1" applyFont="1" applyFill="1" applyBorder="1" applyAlignment="1">
      <alignment horizontal="center"/>
    </xf>
    <xf numFmtId="0" fontId="0" fillId="12" borderId="0" xfId="0" applyFill="1"/>
    <xf numFmtId="164" fontId="3" fillId="13" borderId="6" xfId="0" applyNumberFormat="1" applyFont="1" applyFill="1" applyBorder="1" applyAlignment="1">
      <alignment horizontal="center"/>
    </xf>
    <xf numFmtId="0" fontId="0" fillId="8" borderId="0" xfId="0" applyFill="1"/>
    <xf numFmtId="0" fontId="0" fillId="13" borderId="0" xfId="0" applyFill="1"/>
    <xf numFmtId="0" fontId="0" fillId="7" borderId="7" xfId="0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0" fontId="0" fillId="0" borderId="2" xfId="0" applyBorder="1"/>
    <xf numFmtId="0" fontId="2" fillId="9" borderId="3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8" xfId="0" applyFont="1" applyBorder="1" applyAlignment="1">
      <alignment vertical="center" wrapText="1"/>
    </xf>
    <xf numFmtId="0" fontId="9" fillId="14" borderId="8" xfId="0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10" fillId="0" borderId="9" xfId="0" applyFont="1" applyBorder="1"/>
    <xf numFmtId="0" fontId="14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/>
    </xf>
    <xf numFmtId="1" fontId="8" fillId="0" borderId="9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9" fontId="15" fillId="0" borderId="9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7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FFFFFF"/>
        <name val="Arial"/>
        <charset val="1"/>
      </font>
    </dxf>
    <dxf>
      <font>
        <color rgb="FFFFFFFF"/>
        <name val="Arial"/>
        <charset val="1"/>
      </font>
    </dxf>
    <dxf>
      <font>
        <color rgb="FFFFFFFF"/>
        <name val="Arial"/>
        <charset val="1"/>
      </font>
    </dxf>
    <dxf>
      <font>
        <color rgb="FFFFFFFF"/>
        <name val="Arial"/>
        <charset val="1"/>
      </font>
    </dxf>
    <dxf>
      <font>
        <color rgb="FFFFFFF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D9EEB"/>
      <rgbColor rgb="FFB95F8B"/>
      <rgbColor rgb="FFFFF2CC"/>
      <rgbColor rgb="FFCCFFFF"/>
      <rgbColor rgb="FF660066"/>
      <rgbColor rgb="FFFF7C80"/>
      <rgbColor rgb="FF1F5FB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CE86AB"/>
      <rgbColor rgb="FFD5A6BD"/>
      <rgbColor rgb="FFEAD1DC"/>
      <rgbColor rgb="FF8E7CC3"/>
      <rgbColor rgb="FF47D45A"/>
      <rgbColor rgb="FF93C47D"/>
      <rgbColor rgb="FFFFCC00"/>
      <rgbColor rgb="FFFF9900"/>
      <rgbColor rgb="FFFF6600"/>
      <rgbColor rgb="FF595959"/>
      <rgbColor rgb="FF8B8B8B"/>
      <rgbColor rgb="FF003366"/>
      <rgbColor rgb="FF339966"/>
      <rgbColor rgb="FF003300"/>
      <rgbColor rgb="FF333300"/>
      <rgbColor rgb="FF993300"/>
      <rgbColor rgb="FFC86797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Burndown – Sprint 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S0'!$D$4</c:f>
              <c:strCache>
                <c:ptCount val="1"/>
                <c:pt idx="0">
                  <c:v>Restante – Ideal</c:v>
                </c:pt>
              </c:strCache>
            </c:strRef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S0'!$A$5:$A$9</c:f>
              <c:strCache>
                <c:ptCount val="5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'Burndown S0'!$D$5:$D$9</c:f>
              <c:numCache>
                <c:formatCode>0.0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7-4149-A9D3-B7A37CC8BD54}"/>
            </c:ext>
          </c:extLst>
        </c:ser>
        <c:ser>
          <c:idx val="1"/>
          <c:order val="1"/>
          <c:tx>
            <c:strRef>
              <c:f>'Burndown S0'!$E$4</c:f>
              <c:strCache>
                <c:ptCount val="1"/>
                <c:pt idx="0">
                  <c:v>Restante – Real</c:v>
                </c:pt>
              </c:strCache>
            </c:strRef>
          </c:tx>
          <c:spPr>
            <a:ln w="28440">
              <a:solidFill>
                <a:srgbClr val="1F5FBF"/>
              </a:solidFill>
              <a:round/>
            </a:ln>
          </c:spPr>
          <c:marker>
            <c:symbol val="circle"/>
            <c:size val="7"/>
            <c:spPr>
              <a:solidFill>
                <a:srgbClr val="1F5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S0'!$A$5:$A$9</c:f>
              <c:strCache>
                <c:ptCount val="5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'Burndown S0'!$E$5:$E$9</c:f>
              <c:numCache>
                <c:formatCode>0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7-4149-A9D3-B7A37CC8B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913338"/>
        <c:axId val="28552069"/>
      </c:lineChart>
      <c:catAx>
        <c:axId val="33913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Semana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28552069"/>
        <c:crosses val="autoZero"/>
        <c:auto val="1"/>
        <c:lblAlgn val="ctr"/>
        <c:lblOffset val="100"/>
        <c:noMultiLvlLbl val="0"/>
      </c:catAx>
      <c:valAx>
        <c:axId val="2855206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339133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Burndown –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S1'!$D$4</c:f>
              <c:strCache>
                <c:ptCount val="1"/>
                <c:pt idx="0">
                  <c:v>Restante – Ideal</c:v>
                </c:pt>
              </c:strCache>
            </c:strRef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S1'!$A$5:$A$8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S1'!$D$5:$D$8</c:f>
              <c:numCache>
                <c:formatCode>0.0</c:formatCode>
                <c:ptCount val="4"/>
                <c:pt idx="0">
                  <c:v>5</c:v>
                </c:pt>
                <c:pt idx="1">
                  <c:v>3.3333333333333339</c:v>
                </c:pt>
                <c:pt idx="2">
                  <c:v>1.666666666666667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0-4362-AD51-0D44F00F4885}"/>
            </c:ext>
          </c:extLst>
        </c:ser>
        <c:ser>
          <c:idx val="1"/>
          <c:order val="1"/>
          <c:tx>
            <c:strRef>
              <c:f>'Burndown S1'!$E$4</c:f>
              <c:strCache>
                <c:ptCount val="1"/>
                <c:pt idx="0">
                  <c:v>Restante – Real</c:v>
                </c:pt>
              </c:strCache>
            </c:strRef>
          </c:tx>
          <c:spPr>
            <a:ln w="28440">
              <a:solidFill>
                <a:srgbClr val="1F5FBF"/>
              </a:solidFill>
              <a:round/>
            </a:ln>
          </c:spPr>
          <c:marker>
            <c:symbol val="circle"/>
            <c:size val="7"/>
            <c:spPr>
              <a:solidFill>
                <a:srgbClr val="1F5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S1'!$A$5:$A$8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S1'!$E$5:$E$8</c:f>
              <c:numCache>
                <c:formatCode>0</c:formatCode>
                <c:ptCount val="4"/>
                <c:pt idx="0">
                  <c:v>5</c:v>
                </c:pt>
                <c:pt idx="1">
                  <c:v>3.3</c:v>
                </c:pt>
                <c:pt idx="2">
                  <c:v>1.7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0-4362-AD51-0D44F00F4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06410"/>
        <c:axId val="72290705"/>
      </c:lineChart>
      <c:catAx>
        <c:axId val="2706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Semana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72290705"/>
        <c:crosses val="autoZero"/>
        <c:auto val="1"/>
        <c:lblAlgn val="ctr"/>
        <c:lblOffset val="100"/>
        <c:noMultiLvlLbl val="0"/>
      </c:catAx>
      <c:valAx>
        <c:axId val="72290705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27064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Burndown –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S2'!$D$4</c:f>
              <c:strCache>
                <c:ptCount val="1"/>
                <c:pt idx="0">
                  <c:v>Restante – Ideal</c:v>
                </c:pt>
              </c:strCache>
            </c:strRef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S2'!$A$5:$A$9</c:f>
              <c:strCache>
                <c:ptCount val="5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'Burndown S2'!$D$5:$D$9</c:f>
              <c:numCache>
                <c:formatCode>0.0</c:formatCode>
                <c:ptCount val="5"/>
                <c:pt idx="0">
                  <c:v>6</c:v>
                </c:pt>
                <c:pt idx="1">
                  <c:v>4.5</c:v>
                </c:pt>
                <c:pt idx="2">
                  <c:v>3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A-4951-B8BB-2488EAB55AB3}"/>
            </c:ext>
          </c:extLst>
        </c:ser>
        <c:ser>
          <c:idx val="1"/>
          <c:order val="1"/>
          <c:tx>
            <c:strRef>
              <c:f>'Burndown S2'!$E$4</c:f>
              <c:strCache>
                <c:ptCount val="1"/>
                <c:pt idx="0">
                  <c:v>Restante – Real</c:v>
                </c:pt>
              </c:strCache>
            </c:strRef>
          </c:tx>
          <c:spPr>
            <a:ln w="28440">
              <a:solidFill>
                <a:srgbClr val="1F5FBF"/>
              </a:solidFill>
              <a:round/>
            </a:ln>
          </c:spPr>
          <c:marker>
            <c:symbol val="circle"/>
            <c:size val="7"/>
            <c:spPr>
              <a:solidFill>
                <a:srgbClr val="1F5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S2'!$A$5:$A$9</c:f>
              <c:strCache>
                <c:ptCount val="5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'Burndown S2'!$E$5:$E$9</c:f>
              <c:numCache>
                <c:formatCode>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4A-4951-B8BB-2488EAB5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109784"/>
        <c:axId val="69830747"/>
      </c:lineChart>
      <c:catAx>
        <c:axId val="44109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Semana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69830747"/>
        <c:crosses val="autoZero"/>
        <c:auto val="1"/>
        <c:lblAlgn val="ctr"/>
        <c:lblOffset val="100"/>
        <c:noMultiLvlLbl val="0"/>
      </c:catAx>
      <c:valAx>
        <c:axId val="6983074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441097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Burndown –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S3'!$D$4</c:f>
              <c:strCache>
                <c:ptCount val="1"/>
                <c:pt idx="0">
                  <c:v>Restante – Ideal</c:v>
                </c:pt>
              </c:strCache>
            </c:strRef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S3'!$A$5:$A$8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S3'!$D$5:$D$8</c:f>
              <c:numCache>
                <c:formatCode>0.0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0-44D1-A02D-88CAFD14319E}"/>
            </c:ext>
          </c:extLst>
        </c:ser>
        <c:ser>
          <c:idx val="1"/>
          <c:order val="1"/>
          <c:tx>
            <c:strRef>
              <c:f>'Burndown S3'!$E$4</c:f>
              <c:strCache>
                <c:ptCount val="1"/>
                <c:pt idx="0">
                  <c:v>Restante – Real</c:v>
                </c:pt>
              </c:strCache>
            </c:strRef>
          </c:tx>
          <c:spPr>
            <a:ln w="28440">
              <a:solidFill>
                <a:srgbClr val="1F5FBF"/>
              </a:solidFill>
              <a:round/>
            </a:ln>
          </c:spPr>
          <c:marker>
            <c:symbol val="circle"/>
            <c:size val="7"/>
            <c:spPr>
              <a:solidFill>
                <a:srgbClr val="1F5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S3'!$A$5:$A$8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S3'!$E$5:$E$8</c:f>
              <c:numCache>
                <c:formatCode>0</c:formatCode>
                <c:ptCount val="4"/>
                <c:pt idx="0">
                  <c:v>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0-44D1-A02D-88CAFD143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591201"/>
        <c:axId val="71976220"/>
      </c:lineChart>
      <c:catAx>
        <c:axId val="45591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Semana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71976220"/>
        <c:crosses val="autoZero"/>
        <c:auto val="1"/>
        <c:lblAlgn val="ctr"/>
        <c:lblOffset val="100"/>
        <c:noMultiLvlLbl val="0"/>
      </c:catAx>
      <c:valAx>
        <c:axId val="7197622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455912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Burndown –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S4'!$D$4</c:f>
              <c:strCache>
                <c:ptCount val="1"/>
                <c:pt idx="0">
                  <c:v>Restante – Ideal</c:v>
                </c:pt>
              </c:strCache>
            </c:strRef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S4'!$A$5:$A$8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S4'!$D$5:$D$8</c:f>
              <c:numCache>
                <c:formatCode>0.0</c:formatCode>
                <c:ptCount val="4"/>
                <c:pt idx="0">
                  <c:v>4</c:v>
                </c:pt>
                <c:pt idx="1">
                  <c:v>2.666666666666667</c:v>
                </c:pt>
                <c:pt idx="2">
                  <c:v>1.3333333333333335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6-4264-AB0E-ECD6033C637C}"/>
            </c:ext>
          </c:extLst>
        </c:ser>
        <c:ser>
          <c:idx val="1"/>
          <c:order val="1"/>
          <c:tx>
            <c:strRef>
              <c:f>'Burndown S4'!$E$4</c:f>
              <c:strCache>
                <c:ptCount val="1"/>
                <c:pt idx="0">
                  <c:v>Restante – Real</c:v>
                </c:pt>
              </c:strCache>
            </c:strRef>
          </c:tx>
          <c:spPr>
            <a:ln w="28440">
              <a:solidFill>
                <a:srgbClr val="1F5FBF"/>
              </a:solidFill>
              <a:round/>
            </a:ln>
          </c:spPr>
          <c:marker>
            <c:symbol val="circle"/>
            <c:size val="7"/>
            <c:spPr>
              <a:solidFill>
                <a:srgbClr val="1F5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S4'!$A$5:$A$8</c:f>
              <c:strCache>
                <c:ptCount val="4"/>
                <c:pt idx="0">
                  <c:v>Inicio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</c:strCache>
            </c:strRef>
          </c:cat>
          <c:val>
            <c:numRef>
              <c:f>'Burndown S4'!$E$5:$E$8</c:f>
              <c:numCache>
                <c:formatCode>0</c:formatCode>
                <c:ptCount val="4"/>
                <c:pt idx="0">
                  <c:v>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6-4264-AB0E-ECD6033C6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958601"/>
        <c:axId val="95053327"/>
      </c:lineChart>
      <c:catAx>
        <c:axId val="64958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Semana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95053327"/>
        <c:crosses val="autoZero"/>
        <c:auto val="1"/>
        <c:lblAlgn val="ctr"/>
        <c:lblOffset val="100"/>
        <c:noMultiLvlLbl val="0"/>
      </c:catAx>
      <c:valAx>
        <c:axId val="9505332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  <a:ea typeface="Aptos Narrow"/>
                  </a:rPr>
                  <a:t>Puntos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s-CL"/>
          </a:p>
        </c:txPr>
        <c:crossAx val="649586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160560</xdr:rowOff>
    </xdr:from>
    <xdr:to>
      <xdr:col>4</xdr:col>
      <xdr:colOff>1093980</xdr:colOff>
      <xdr:row>31</xdr:row>
      <xdr:rowOff>130320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4</xdr:col>
      <xdr:colOff>1065405</xdr:colOff>
      <xdr:row>30</xdr:row>
      <xdr:rowOff>130320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160560</xdr:rowOff>
    </xdr:from>
    <xdr:to>
      <xdr:col>4</xdr:col>
      <xdr:colOff>1093980</xdr:colOff>
      <xdr:row>31</xdr:row>
      <xdr:rowOff>130320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4</xdr:col>
      <xdr:colOff>1330200</xdr:colOff>
      <xdr:row>30</xdr:row>
      <xdr:rowOff>130320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4</xdr:col>
      <xdr:colOff>1330200</xdr:colOff>
      <xdr:row>30</xdr:row>
      <xdr:rowOff>130320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zoomScale="66" zoomScaleNormal="66" workbookViewId="0">
      <selection activeCell="F25" sqref="A21:F25"/>
    </sheetView>
  </sheetViews>
  <sheetFormatPr baseColWidth="10" defaultColWidth="12.6640625" defaultRowHeight="14.4" x14ac:dyDescent="0.3"/>
  <cols>
    <col min="1" max="3" width="8.6640625" customWidth="1"/>
    <col min="4" max="4" width="60.109375" customWidth="1"/>
    <col min="5" max="5" width="13.109375" customWidth="1"/>
    <col min="6" max="6" width="10.33203125" customWidth="1"/>
    <col min="7" max="8" width="6.6640625" customWidth="1"/>
    <col min="9" max="11" width="6.33203125" customWidth="1"/>
    <col min="12" max="12" width="6.109375" customWidth="1"/>
    <col min="13" max="13" width="6.33203125" customWidth="1"/>
    <col min="14" max="14" width="6.6640625" customWidth="1"/>
    <col min="15" max="16" width="5.88671875" customWidth="1"/>
    <col min="17" max="17" width="6.109375" customWidth="1"/>
    <col min="18" max="21" width="6.33203125" customWidth="1"/>
    <col min="22" max="22" width="5.88671875" customWidth="1"/>
    <col min="23" max="24" width="6.33203125" customWidth="1"/>
    <col min="25" max="25" width="8.6640625" customWidth="1"/>
  </cols>
  <sheetData>
    <row r="1" spans="1:25" x14ac:dyDescent="0.3">
      <c r="A1" s="53" t="s">
        <v>0</v>
      </c>
      <c r="B1" s="53"/>
      <c r="C1" s="53"/>
      <c r="D1" s="53"/>
      <c r="E1" s="54" t="s">
        <v>1</v>
      </c>
      <c r="F1" s="54" t="s">
        <v>2</v>
      </c>
      <c r="G1" s="55" t="s">
        <v>3</v>
      </c>
      <c r="H1" s="55"/>
      <c r="I1" s="55"/>
      <c r="J1" s="55"/>
      <c r="K1" s="56" t="s">
        <v>4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0" t="s">
        <v>5</v>
      </c>
      <c r="W1" s="50"/>
      <c r="X1" s="50"/>
    </row>
    <row r="2" spans="1:25" x14ac:dyDescent="0.3">
      <c r="A2" s="53"/>
      <c r="B2" s="53"/>
      <c r="C2" s="53"/>
      <c r="D2" s="53"/>
      <c r="E2" s="54"/>
      <c r="F2" s="54"/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1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5" x14ac:dyDescent="0.3">
      <c r="A3" s="51" t="s">
        <v>24</v>
      </c>
      <c r="B3" s="51"/>
      <c r="C3" s="51"/>
      <c r="D3" s="51"/>
      <c r="E3" s="3">
        <v>46244</v>
      </c>
      <c r="F3" s="4">
        <v>46271</v>
      </c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Y3" s="7"/>
    </row>
    <row r="4" spans="1:25" x14ac:dyDescent="0.3">
      <c r="A4" s="52" t="s">
        <v>25</v>
      </c>
      <c r="B4" s="52"/>
      <c r="C4" s="52"/>
      <c r="D4" s="52"/>
      <c r="E4" s="8"/>
      <c r="F4" s="9"/>
      <c r="G4" s="1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Y4" s="7"/>
    </row>
    <row r="5" spans="1:25" x14ac:dyDescent="0.3">
      <c r="A5" s="52" t="s">
        <v>26</v>
      </c>
      <c r="B5" s="52"/>
      <c r="C5" s="52"/>
      <c r="D5" s="52"/>
      <c r="E5" s="8"/>
      <c r="F5" s="9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Y5" s="7"/>
    </row>
    <row r="6" spans="1:25" x14ac:dyDescent="0.3">
      <c r="A6" s="52" t="s">
        <v>27</v>
      </c>
      <c r="B6" s="52"/>
      <c r="C6" s="52"/>
      <c r="D6" s="52"/>
      <c r="E6" s="8"/>
      <c r="F6" s="9"/>
      <c r="G6" s="10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Y6" s="7"/>
    </row>
    <row r="7" spans="1:25" x14ac:dyDescent="0.3">
      <c r="A7" s="52" t="s">
        <v>28</v>
      </c>
      <c r="B7" s="52"/>
      <c r="C7" s="52"/>
      <c r="D7" s="52"/>
      <c r="E7" s="8"/>
      <c r="F7" s="9"/>
      <c r="G7" s="6"/>
      <c r="H7" s="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Y7" s="7"/>
    </row>
    <row r="8" spans="1:25" x14ac:dyDescent="0.3">
      <c r="A8" s="52" t="s">
        <v>29</v>
      </c>
      <c r="B8" s="52"/>
      <c r="C8" s="52"/>
      <c r="D8" s="52"/>
      <c r="E8" s="8"/>
      <c r="F8" s="9"/>
      <c r="G8" s="6"/>
      <c r="H8" s="1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Y8" s="7"/>
    </row>
    <row r="9" spans="1:25" x14ac:dyDescent="0.3">
      <c r="A9" s="52" t="s">
        <v>30</v>
      </c>
      <c r="B9" s="52"/>
      <c r="C9" s="52"/>
      <c r="D9" s="52"/>
      <c r="E9" s="8"/>
      <c r="F9" s="9"/>
      <c r="G9" s="6"/>
      <c r="H9" s="1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Y9" s="7"/>
    </row>
    <row r="10" spans="1:25" x14ac:dyDescent="0.3">
      <c r="A10" s="52" t="s">
        <v>31</v>
      </c>
      <c r="B10" s="52"/>
      <c r="C10" s="52"/>
      <c r="D10" s="52"/>
      <c r="E10" s="8"/>
      <c r="F10" s="9"/>
      <c r="G10" s="6"/>
      <c r="H10" s="1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Y10" s="7"/>
    </row>
    <row r="11" spans="1:25" x14ac:dyDescent="0.3">
      <c r="A11" s="52" t="s">
        <v>32</v>
      </c>
      <c r="B11" s="52"/>
      <c r="C11" s="52"/>
      <c r="D11" s="52"/>
      <c r="E11" s="8"/>
      <c r="F11" s="9"/>
      <c r="G11" s="6"/>
      <c r="H11" s="1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Y11" s="7"/>
    </row>
    <row r="12" spans="1:25" x14ac:dyDescent="0.3">
      <c r="A12" s="52" t="s">
        <v>33</v>
      </c>
      <c r="B12" s="52"/>
      <c r="C12" s="52"/>
      <c r="D12" s="52"/>
      <c r="E12" s="8"/>
      <c r="F12" s="9"/>
      <c r="G12" s="6"/>
      <c r="H12" s="1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Y12" s="7"/>
    </row>
    <row r="13" spans="1:25" x14ac:dyDescent="0.3">
      <c r="A13" s="52" t="s">
        <v>34</v>
      </c>
      <c r="B13" s="52"/>
      <c r="C13" s="52"/>
      <c r="D13" s="52"/>
      <c r="E13" s="8"/>
      <c r="F13" s="9"/>
      <c r="G13" s="6"/>
      <c r="H13" s="6"/>
      <c r="I13" s="10"/>
      <c r="J13" s="10"/>
      <c r="K13" s="6"/>
      <c r="L13" s="6"/>
      <c r="M13" s="6"/>
      <c r="N13" s="6"/>
      <c r="O13" s="6"/>
      <c r="P13" s="6"/>
      <c r="Q13" s="6"/>
      <c r="R13" s="6"/>
      <c r="S13" s="6"/>
      <c r="T13" s="6"/>
      <c r="Y13" s="7"/>
    </row>
    <row r="14" spans="1:25" x14ac:dyDescent="0.3">
      <c r="A14" s="52" t="s">
        <v>35</v>
      </c>
      <c r="B14" s="52"/>
      <c r="C14" s="52"/>
      <c r="D14" s="52"/>
      <c r="E14" s="8"/>
      <c r="F14" s="9"/>
      <c r="G14" s="6"/>
      <c r="H14" s="6"/>
      <c r="I14" s="10"/>
      <c r="J14" s="10"/>
      <c r="K14" s="6"/>
      <c r="L14" s="6"/>
      <c r="M14" s="6"/>
      <c r="N14" s="6"/>
      <c r="O14" s="6"/>
      <c r="P14" s="6"/>
      <c r="Q14" s="6"/>
      <c r="R14" s="6"/>
      <c r="S14" s="6"/>
      <c r="T14" s="6"/>
      <c r="Y14" s="7"/>
    </row>
    <row r="15" spans="1:25" x14ac:dyDescent="0.3">
      <c r="A15" s="52" t="s">
        <v>36</v>
      </c>
      <c r="B15" s="52"/>
      <c r="C15" s="52"/>
      <c r="D15" s="52"/>
      <c r="E15" s="8"/>
      <c r="F15" s="9"/>
      <c r="G15" s="6"/>
      <c r="H15" s="6"/>
      <c r="I15" s="10"/>
      <c r="J15" s="10"/>
      <c r="K15" s="6"/>
      <c r="L15" s="6"/>
      <c r="M15" s="6"/>
      <c r="N15" s="6"/>
      <c r="O15" s="6"/>
      <c r="P15" s="6"/>
      <c r="Q15" s="6"/>
      <c r="R15" s="6"/>
      <c r="S15" s="6"/>
      <c r="T15" s="6"/>
      <c r="Y15" s="7"/>
    </row>
    <row r="16" spans="1:25" x14ac:dyDescent="0.3">
      <c r="A16" s="52" t="s">
        <v>37</v>
      </c>
      <c r="B16" s="52"/>
      <c r="C16" s="52"/>
      <c r="D16" s="52"/>
      <c r="E16" s="8"/>
      <c r="F16" s="9"/>
      <c r="G16" s="6"/>
      <c r="H16" s="6"/>
      <c r="I16" s="10"/>
      <c r="J16" s="10"/>
      <c r="K16" s="6"/>
      <c r="L16" s="6"/>
      <c r="M16" s="6"/>
      <c r="N16" s="6"/>
      <c r="O16" s="6"/>
      <c r="P16" s="6"/>
      <c r="Q16" s="6"/>
      <c r="R16" s="6"/>
      <c r="S16" s="6"/>
      <c r="T16" s="6"/>
      <c r="Y16" s="7"/>
    </row>
    <row r="17" spans="1:25" x14ac:dyDescent="0.3">
      <c r="A17" s="52" t="s">
        <v>38</v>
      </c>
      <c r="B17" s="52"/>
      <c r="C17" s="52"/>
      <c r="D17" s="52"/>
      <c r="E17" s="8"/>
      <c r="F17" s="9"/>
      <c r="G17" s="6"/>
      <c r="H17" s="6"/>
      <c r="I17" s="10"/>
      <c r="J17" s="10"/>
      <c r="K17" s="6"/>
      <c r="L17" s="6"/>
      <c r="M17" s="6"/>
      <c r="N17" s="6"/>
      <c r="O17" s="6"/>
      <c r="P17" s="6"/>
      <c r="Q17" s="6"/>
      <c r="R17" s="6"/>
      <c r="S17" s="6"/>
      <c r="T17" s="6"/>
      <c r="Y17" s="7"/>
    </row>
    <row r="18" spans="1:25" x14ac:dyDescent="0.3">
      <c r="A18" s="52" t="s">
        <v>39</v>
      </c>
      <c r="B18" s="52"/>
      <c r="C18" s="52"/>
      <c r="D18" s="52"/>
      <c r="E18" s="8"/>
      <c r="F18" s="9"/>
      <c r="G18" s="6"/>
      <c r="H18" s="6"/>
      <c r="I18" s="6"/>
      <c r="J18" s="10"/>
      <c r="K18" s="6"/>
      <c r="L18" s="6"/>
      <c r="M18" s="6"/>
      <c r="N18" s="6"/>
      <c r="O18" s="6"/>
      <c r="P18" s="6"/>
      <c r="Q18" s="6"/>
      <c r="R18" s="6"/>
      <c r="S18" s="6"/>
      <c r="T18" s="6"/>
      <c r="Y18" s="7"/>
    </row>
    <row r="19" spans="1:25" x14ac:dyDescent="0.3">
      <c r="A19" s="57" t="s">
        <v>40</v>
      </c>
      <c r="B19" s="57"/>
      <c r="C19" s="57"/>
      <c r="D19" s="57"/>
      <c r="E19" s="12"/>
      <c r="F19" s="13"/>
      <c r="G19" s="11"/>
      <c r="H19" s="11"/>
      <c r="I19" s="11"/>
      <c r="J19" s="14"/>
      <c r="K19" s="11"/>
      <c r="L19" s="11"/>
      <c r="M19" s="11"/>
      <c r="N19" s="6"/>
      <c r="O19" s="6"/>
      <c r="P19" s="6"/>
      <c r="Q19" s="6"/>
      <c r="R19" s="6"/>
      <c r="S19" s="6"/>
      <c r="T19" s="6"/>
      <c r="Y19" s="7"/>
    </row>
    <row r="20" spans="1:25" x14ac:dyDescent="0.3">
      <c r="A20" s="58" t="s">
        <v>41</v>
      </c>
      <c r="B20" s="58"/>
      <c r="C20" s="58"/>
      <c r="D20" s="58"/>
      <c r="E20" s="15">
        <v>46272</v>
      </c>
      <c r="F20" s="15">
        <v>46292</v>
      </c>
      <c r="G20" s="6"/>
      <c r="H20" s="6"/>
      <c r="I20" s="6"/>
      <c r="J20" s="6"/>
      <c r="K20" s="16"/>
      <c r="L20" s="16"/>
      <c r="M20" s="16"/>
      <c r="N20" s="6"/>
      <c r="O20" s="6"/>
      <c r="P20" s="6"/>
      <c r="Q20" s="6"/>
      <c r="R20" s="6"/>
      <c r="S20" s="6"/>
      <c r="T20" s="6"/>
      <c r="Y20" s="7"/>
    </row>
    <row r="21" spans="1:25" ht="15.75" customHeight="1" x14ac:dyDescent="0.3">
      <c r="A21" s="52" t="s">
        <v>42</v>
      </c>
      <c r="B21" s="52"/>
      <c r="C21" s="52"/>
      <c r="D21" s="52"/>
      <c r="E21" s="8"/>
      <c r="F21" s="9"/>
      <c r="G21" s="6"/>
      <c r="H21" s="6"/>
      <c r="I21" s="6"/>
      <c r="J21" s="6"/>
      <c r="K21" s="10"/>
      <c r="L21" s="6"/>
      <c r="M21" s="6"/>
      <c r="N21" s="6"/>
      <c r="O21" s="6"/>
      <c r="P21" s="6"/>
      <c r="Q21" s="6"/>
      <c r="R21" s="6"/>
      <c r="S21" s="6"/>
      <c r="T21" s="6"/>
      <c r="Y21" s="7"/>
    </row>
    <row r="22" spans="1:25" ht="15.75" customHeight="1" x14ac:dyDescent="0.3">
      <c r="A22" s="52" t="s">
        <v>43</v>
      </c>
      <c r="B22" s="52"/>
      <c r="C22" s="52"/>
      <c r="D22" s="52"/>
      <c r="E22" s="8"/>
      <c r="F22" s="9"/>
      <c r="G22" s="6"/>
      <c r="H22" s="6"/>
      <c r="I22" s="6"/>
      <c r="J22" s="6"/>
      <c r="K22" s="10"/>
      <c r="L22" s="10"/>
      <c r="M22" s="6"/>
      <c r="N22" s="6"/>
      <c r="O22" s="6"/>
      <c r="P22" s="6"/>
      <c r="Q22" s="6"/>
      <c r="R22" s="6"/>
      <c r="S22" s="6"/>
      <c r="T22" s="6"/>
      <c r="Y22" s="7"/>
    </row>
    <row r="23" spans="1:25" ht="15.75" customHeight="1" x14ac:dyDescent="0.3">
      <c r="A23" s="52" t="s">
        <v>44</v>
      </c>
      <c r="B23" s="52"/>
      <c r="C23" s="52"/>
      <c r="D23" s="52"/>
      <c r="E23" s="8"/>
      <c r="F23" s="9"/>
      <c r="L23" s="10"/>
      <c r="M23" s="10"/>
      <c r="Y23" s="7"/>
    </row>
    <row r="24" spans="1:25" ht="15.75" customHeight="1" x14ac:dyDescent="0.3">
      <c r="A24" s="52" t="s">
        <v>45</v>
      </c>
      <c r="B24" s="52"/>
      <c r="C24" s="52"/>
      <c r="D24" s="52"/>
      <c r="E24" s="8"/>
      <c r="F24" s="9"/>
      <c r="L24" s="10"/>
      <c r="M24" s="10"/>
      <c r="Y24" s="7"/>
    </row>
    <row r="25" spans="1:25" ht="15.75" customHeight="1" x14ac:dyDescent="0.3">
      <c r="A25" s="52" t="s">
        <v>46</v>
      </c>
      <c r="B25" s="52"/>
      <c r="C25" s="52"/>
      <c r="D25" s="52"/>
      <c r="E25" s="8"/>
      <c r="F25" s="9"/>
      <c r="M25" s="10"/>
      <c r="Y25" s="7"/>
    </row>
    <row r="26" spans="1:25" ht="15.75" customHeight="1" x14ac:dyDescent="0.3">
      <c r="A26" s="59" t="s">
        <v>47</v>
      </c>
      <c r="B26" s="59"/>
      <c r="C26" s="59"/>
      <c r="D26" s="59"/>
      <c r="E26" s="17">
        <v>46293</v>
      </c>
      <c r="F26" s="17">
        <v>46320</v>
      </c>
      <c r="N26" s="18"/>
      <c r="O26" s="18"/>
      <c r="P26" s="18"/>
      <c r="Q26" s="18"/>
      <c r="Y26" s="7"/>
    </row>
    <row r="27" spans="1:25" ht="15.75" customHeight="1" x14ac:dyDescent="0.3">
      <c r="A27" s="52" t="s">
        <v>98</v>
      </c>
      <c r="B27" s="52"/>
      <c r="C27" s="52"/>
      <c r="D27" s="52"/>
      <c r="E27" s="8"/>
      <c r="F27" s="9"/>
      <c r="O27" s="10"/>
      <c r="P27" s="10"/>
      <c r="Q27" s="10"/>
      <c r="Y27" s="7"/>
    </row>
    <row r="28" spans="1:25" ht="15.75" customHeight="1" x14ac:dyDescent="0.3">
      <c r="A28" s="57" t="s">
        <v>48</v>
      </c>
      <c r="B28" s="57"/>
      <c r="C28" s="57"/>
      <c r="D28" s="57"/>
      <c r="E28" s="12"/>
      <c r="F28" s="13"/>
      <c r="G28" s="11"/>
      <c r="H28" s="11"/>
      <c r="I28" s="11"/>
      <c r="J28" s="11"/>
      <c r="K28" s="11"/>
      <c r="L28" s="11"/>
      <c r="M28" s="11"/>
      <c r="N28" s="6"/>
      <c r="O28" s="6"/>
      <c r="P28" s="14"/>
      <c r="Q28" s="6"/>
      <c r="R28" s="6"/>
      <c r="S28" s="6"/>
      <c r="T28" s="6"/>
      <c r="Y28" s="7"/>
    </row>
    <row r="29" spans="1:25" ht="15.75" customHeight="1" x14ac:dyDescent="0.3">
      <c r="A29" s="52" t="s">
        <v>49</v>
      </c>
      <c r="B29" s="52"/>
      <c r="C29" s="52"/>
      <c r="D29" s="52"/>
      <c r="E29" s="8"/>
      <c r="F29" s="9"/>
      <c r="Q29" s="10"/>
      <c r="Y29" s="7"/>
    </row>
    <row r="30" spans="1:25" ht="15.75" customHeight="1" x14ac:dyDescent="0.3">
      <c r="A30" s="52" t="s">
        <v>99</v>
      </c>
      <c r="B30" s="52"/>
      <c r="C30" s="52"/>
      <c r="D30" s="52"/>
      <c r="E30" s="8"/>
      <c r="F30" s="9"/>
      <c r="P30" s="10"/>
      <c r="Q30" s="10"/>
      <c r="Y30" s="7"/>
    </row>
    <row r="31" spans="1:25" ht="15.75" customHeight="1" x14ac:dyDescent="0.3">
      <c r="A31" s="52" t="s">
        <v>50</v>
      </c>
      <c r="B31" s="52"/>
      <c r="C31" s="52"/>
      <c r="D31" s="52"/>
      <c r="E31" s="8"/>
      <c r="F31" s="9"/>
      <c r="P31" s="11"/>
      <c r="Q31" s="10"/>
      <c r="Y31" s="7"/>
    </row>
    <row r="32" spans="1:25" ht="15.75" customHeight="1" x14ac:dyDescent="0.3">
      <c r="A32" s="52" t="s">
        <v>51</v>
      </c>
      <c r="B32" s="52"/>
      <c r="C32" s="52"/>
      <c r="D32" s="52"/>
      <c r="E32" s="8"/>
      <c r="F32" s="9"/>
      <c r="P32" s="11"/>
      <c r="Q32" s="10"/>
      <c r="Y32" s="7"/>
    </row>
    <row r="33" spans="1:25" ht="15.75" customHeight="1" x14ac:dyDescent="0.3">
      <c r="A33" s="60" t="s">
        <v>52</v>
      </c>
      <c r="B33" s="60"/>
      <c r="C33" s="60"/>
      <c r="D33" s="60"/>
      <c r="E33" s="19">
        <v>46321</v>
      </c>
      <c r="F33" s="19">
        <v>46341</v>
      </c>
      <c r="R33" s="20"/>
      <c r="S33" s="20"/>
      <c r="T33" s="20"/>
      <c r="U33" s="20"/>
      <c r="Y33" s="7"/>
    </row>
    <row r="34" spans="1:25" ht="15.75" customHeight="1" x14ac:dyDescent="0.3">
      <c r="A34" s="52" t="s">
        <v>53</v>
      </c>
      <c r="B34" s="52"/>
      <c r="C34" s="52"/>
      <c r="D34" s="52"/>
      <c r="E34" s="8"/>
      <c r="F34" s="9"/>
      <c r="R34" s="10"/>
      <c r="S34" s="10"/>
      <c r="Y34" s="7"/>
    </row>
    <row r="35" spans="1:25" ht="15.75" customHeight="1" x14ac:dyDescent="0.3">
      <c r="A35" s="52" t="s">
        <v>54</v>
      </c>
      <c r="B35" s="52"/>
      <c r="C35" s="52"/>
      <c r="D35" s="52"/>
      <c r="E35" s="8"/>
      <c r="F35" s="9"/>
      <c r="R35" s="10"/>
      <c r="S35" s="10"/>
    </row>
    <row r="36" spans="1:25" ht="15.75" customHeight="1" x14ac:dyDescent="0.3">
      <c r="A36" s="52" t="s">
        <v>55</v>
      </c>
      <c r="B36" s="52"/>
      <c r="C36" s="52"/>
      <c r="D36" s="52"/>
      <c r="E36" s="8"/>
      <c r="F36" s="9"/>
      <c r="S36" s="10"/>
      <c r="T36" s="10"/>
      <c r="Y36" s="7"/>
    </row>
    <row r="37" spans="1:25" ht="15.75" customHeight="1" x14ac:dyDescent="0.3">
      <c r="A37" s="52" t="s">
        <v>56</v>
      </c>
      <c r="B37" s="52"/>
      <c r="C37" s="52"/>
      <c r="D37" s="52"/>
      <c r="E37" s="8"/>
      <c r="F37" s="9"/>
      <c r="U37" s="10"/>
      <c r="Y37" s="7"/>
    </row>
    <row r="38" spans="1:25" ht="15.75" customHeight="1" x14ac:dyDescent="0.3">
      <c r="A38" s="52" t="s">
        <v>57</v>
      </c>
      <c r="B38" s="52"/>
      <c r="C38" s="52"/>
      <c r="D38" s="52"/>
      <c r="E38" s="8"/>
      <c r="F38" s="9"/>
      <c r="U38" s="10"/>
      <c r="Y38" s="7"/>
    </row>
    <row r="39" spans="1:25" ht="15.75" customHeight="1" x14ac:dyDescent="0.3">
      <c r="A39" s="52" t="s">
        <v>58</v>
      </c>
      <c r="B39" s="52"/>
      <c r="C39" s="52"/>
      <c r="D39" s="52"/>
      <c r="E39" s="8"/>
      <c r="F39" s="9"/>
      <c r="U39" s="10"/>
      <c r="Y39" s="7"/>
    </row>
    <row r="40" spans="1:25" ht="15.75" customHeight="1" x14ac:dyDescent="0.3">
      <c r="A40" s="62" t="s">
        <v>59</v>
      </c>
      <c r="B40" s="62"/>
      <c r="C40" s="62"/>
      <c r="D40" s="62"/>
      <c r="E40" s="21">
        <v>46342</v>
      </c>
      <c r="F40" s="21">
        <v>46362</v>
      </c>
      <c r="U40" s="22"/>
      <c r="V40" s="23"/>
      <c r="W40" s="23"/>
      <c r="X40" s="23"/>
      <c r="Y40" s="7"/>
    </row>
    <row r="41" spans="1:25" ht="15.75" customHeight="1" x14ac:dyDescent="0.3">
      <c r="A41" s="52" t="s">
        <v>60</v>
      </c>
      <c r="B41" s="52"/>
      <c r="C41" s="52"/>
      <c r="D41" s="52"/>
      <c r="E41" s="8"/>
      <c r="F41" s="9"/>
      <c r="V41" s="10"/>
      <c r="W41" s="10"/>
      <c r="Y41" s="7"/>
    </row>
    <row r="42" spans="1:25" ht="15.75" customHeight="1" x14ac:dyDescent="0.3">
      <c r="A42" s="52" t="s">
        <v>61</v>
      </c>
      <c r="B42" s="52"/>
      <c r="C42" s="52"/>
      <c r="D42" s="52"/>
      <c r="E42" s="8"/>
      <c r="F42" s="9"/>
      <c r="V42" s="10"/>
      <c r="W42" s="10"/>
      <c r="Y42" s="7"/>
    </row>
    <row r="43" spans="1:25" ht="15.75" customHeight="1" x14ac:dyDescent="0.3">
      <c r="A43" s="52" t="s">
        <v>62</v>
      </c>
      <c r="B43" s="52"/>
      <c r="C43" s="52"/>
      <c r="D43" s="52"/>
      <c r="E43" s="8"/>
      <c r="F43" s="9"/>
      <c r="V43" s="10"/>
      <c r="W43" s="10"/>
      <c r="X43" s="24"/>
    </row>
    <row r="44" spans="1:25" ht="15.75" customHeight="1" x14ac:dyDescent="0.3">
      <c r="A44" s="61" t="s">
        <v>63</v>
      </c>
      <c r="B44" s="61"/>
      <c r="C44" s="61"/>
      <c r="D44" s="61"/>
      <c r="E44" s="25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7"/>
    </row>
    <row r="45" spans="1:25" ht="15.75" customHeight="1" x14ac:dyDescent="0.3"/>
    <row r="46" spans="1:25" ht="15.75" customHeight="1" x14ac:dyDescent="0.3"/>
    <row r="47" spans="1:25" ht="15.75" customHeight="1" x14ac:dyDescent="0.3"/>
    <row r="48" spans="1:2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48">
    <mergeCell ref="A42:D42"/>
    <mergeCell ref="A43:D43"/>
    <mergeCell ref="A44:D44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30:D30"/>
    <mergeCell ref="A27:D27"/>
    <mergeCell ref="A28:D28"/>
    <mergeCell ref="A29:D29"/>
    <mergeCell ref="A31:D31"/>
    <mergeCell ref="A22:D22"/>
    <mergeCell ref="A23:D23"/>
    <mergeCell ref="A24:D24"/>
    <mergeCell ref="A25:D25"/>
    <mergeCell ref="A26:D26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V1:X1"/>
    <mergeCell ref="A3:D3"/>
    <mergeCell ref="A4:D4"/>
    <mergeCell ref="A5:D5"/>
    <mergeCell ref="A6:D6"/>
    <mergeCell ref="A1:D2"/>
    <mergeCell ref="E1:E2"/>
    <mergeCell ref="F1:F2"/>
    <mergeCell ref="G1:J1"/>
    <mergeCell ref="K1:U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2"/>
  <sheetViews>
    <sheetView zoomScaleNormal="100" workbookViewId="0">
      <pane ySplit="4" topLeftCell="A5" activePane="bottomLeft" state="frozen"/>
      <selection pane="bottomLeft" activeCell="C26" sqref="C26"/>
    </sheetView>
  </sheetViews>
  <sheetFormatPr baseColWidth="10" defaultColWidth="12.6640625" defaultRowHeight="14.4" x14ac:dyDescent="0.3"/>
  <cols>
    <col min="1" max="1" width="12" customWidth="1"/>
    <col min="2" max="2" width="75" customWidth="1"/>
    <col min="3" max="3" width="10" customWidth="1"/>
    <col min="4" max="4" width="13" customWidth="1"/>
    <col min="5" max="26" width="18" customWidth="1"/>
  </cols>
  <sheetData>
    <row r="1" spans="1:6" ht="17.399999999999999" x14ac:dyDescent="0.3">
      <c r="A1" s="28" t="s">
        <v>64</v>
      </c>
    </row>
    <row r="2" spans="1:6" x14ac:dyDescent="0.3">
      <c r="A2" s="29" t="s">
        <v>65</v>
      </c>
    </row>
    <row r="4" spans="1:6" x14ac:dyDescent="0.3">
      <c r="A4" s="30" t="s">
        <v>66</v>
      </c>
      <c r="B4" s="30" t="s">
        <v>67</v>
      </c>
      <c r="C4" s="30" t="s">
        <v>68</v>
      </c>
      <c r="D4" s="30" t="s">
        <v>69</v>
      </c>
      <c r="E4" s="31" t="s">
        <v>70</v>
      </c>
      <c r="F4" s="31" t="s">
        <v>71</v>
      </c>
    </row>
    <row r="5" spans="1:6" x14ac:dyDescent="0.3">
      <c r="A5" s="32" t="str">
        <f>Sheet1!$A$3</f>
        <v>SPRINT 0</v>
      </c>
      <c r="B5" s="33" t="str">
        <f>Sheet1!$A$4</f>
        <v>Definición de proyecto Capstone</v>
      </c>
      <c r="C5" s="34">
        <v>1</v>
      </c>
      <c r="D5" s="34" t="s">
        <v>72</v>
      </c>
      <c r="E5" s="35"/>
      <c r="F5" s="36">
        <f>IF($D5="Hecho",IF($E5="",INDEX(Sheet1!$F$1:$F$44,MATCH($A5,Sheet1!$A$1:$A$44,0)),$E5),"")</f>
        <v>46271</v>
      </c>
    </row>
    <row r="6" spans="1:6" x14ac:dyDescent="0.3">
      <c r="A6" s="32" t="str">
        <f>Sheet1!$A$3</f>
        <v>SPRINT 0</v>
      </c>
      <c r="B6" s="33" t="str">
        <f>Sheet1!$A$5</f>
        <v>Realización evidencia de Autoevaluación Competencias F1</v>
      </c>
      <c r="C6" s="34">
        <v>1</v>
      </c>
      <c r="D6" s="34" t="s">
        <v>72</v>
      </c>
      <c r="E6" s="35"/>
      <c r="F6" s="36">
        <f>IF($D6="Hecho",IF($E6="",INDEX(Sheet1!$F$1:$F$44,MATCH($A6,Sheet1!$A$1:$A$44,0)),$E6),"")</f>
        <v>46271</v>
      </c>
    </row>
    <row r="7" spans="1:6" x14ac:dyDescent="0.3">
      <c r="A7" s="32" t="str">
        <f>Sheet1!$A$3</f>
        <v>SPRINT 0</v>
      </c>
      <c r="B7" s="33" t="str">
        <f>Sheet1!$A$6</f>
        <v>Realización evidencia de Diario de Reflexión F1</v>
      </c>
      <c r="C7" s="34">
        <v>1</v>
      </c>
      <c r="D7" s="34" t="s">
        <v>72</v>
      </c>
      <c r="E7" s="35"/>
      <c r="F7" s="36">
        <f>IF($D7="Hecho",IF($E7="",INDEX(Sheet1!$F$1:$F$44,MATCH($A7,Sheet1!$A$1:$A$44,0)),$E7),"")</f>
        <v>46271</v>
      </c>
    </row>
    <row r="8" spans="1:6" x14ac:dyDescent="0.3">
      <c r="A8" s="32" t="str">
        <f>Sheet1!$A$3</f>
        <v>SPRINT 0</v>
      </c>
      <c r="B8" s="33" t="str">
        <f>Sheet1!$A$7</f>
        <v>Junta con cliente (N°1)</v>
      </c>
      <c r="C8" s="34">
        <v>1</v>
      </c>
      <c r="D8" s="34" t="s">
        <v>72</v>
      </c>
      <c r="E8" s="35"/>
      <c r="F8" s="36">
        <f>IF($D8="Hecho",IF($E8="",INDEX(Sheet1!$F$1:$F$44,MATCH($A8,Sheet1!$A$1:$A$44,0)),$E8),"")</f>
        <v>46271</v>
      </c>
    </row>
    <row r="9" spans="1:6" x14ac:dyDescent="0.3">
      <c r="A9" s="32" t="str">
        <f>Sheet1!$A$3</f>
        <v>SPRINT 0</v>
      </c>
      <c r="B9" s="33" t="str">
        <f>Sheet1!$A$8</f>
        <v>Levantamiento de requisitos</v>
      </c>
      <c r="C9" s="34">
        <v>1</v>
      </c>
      <c r="D9" s="34" t="s">
        <v>72</v>
      </c>
      <c r="E9" s="35"/>
      <c r="F9" s="36">
        <f>IF($D9="Hecho",IF($E9="",INDEX(Sheet1!$F$1:$F$44,MATCH($A9,Sheet1!$A$1:$A$44,0)),$E9),"")</f>
        <v>46271</v>
      </c>
    </row>
    <row r="10" spans="1:6" x14ac:dyDescent="0.3">
      <c r="A10" s="32" t="str">
        <f>Sheet1!$A$3</f>
        <v>SPRINT 0</v>
      </c>
      <c r="B10" s="33" t="str">
        <f>Sheet1!$A$9</f>
        <v>Realización evidencia de Autoevaluación F1</v>
      </c>
      <c r="C10" s="34">
        <v>1</v>
      </c>
      <c r="D10" s="34" t="s">
        <v>72</v>
      </c>
      <c r="E10" s="35"/>
      <c r="F10" s="36">
        <f>IF($D10="Hecho",IF($E10="",INDEX(Sheet1!$F$1:$F$44,MATCH($A10,Sheet1!$A$1:$A$44,0)),$E10),"")</f>
        <v>46271</v>
      </c>
    </row>
    <row r="11" spans="1:6" x14ac:dyDescent="0.3">
      <c r="A11" s="32" t="str">
        <f>Sheet1!$A$3</f>
        <v>SPRINT 0</v>
      </c>
      <c r="B11" s="33" t="str">
        <f>Sheet1!$A$10</f>
        <v>Creación de Historias de Usuario</v>
      </c>
      <c r="C11" s="34">
        <v>1</v>
      </c>
      <c r="D11" s="34" t="s">
        <v>72</v>
      </c>
      <c r="E11" s="35"/>
      <c r="F11" s="36">
        <f>IF($D11="Hecho",IF($E11="",INDEX(Sheet1!$F$1:$F$44,MATCH($A11,Sheet1!$A$1:$A$44,0)),$E11),"")</f>
        <v>46271</v>
      </c>
    </row>
    <row r="12" spans="1:6" x14ac:dyDescent="0.3">
      <c r="A12" s="32" t="str">
        <f>Sheet1!$A$3</f>
        <v>SPRINT 0</v>
      </c>
      <c r="B12" s="33" t="str">
        <f>Sheet1!$A$11</f>
        <v>Creación de PPT1</v>
      </c>
      <c r="C12" s="34">
        <v>1</v>
      </c>
      <c r="D12" s="34" t="s">
        <v>72</v>
      </c>
      <c r="E12" s="35"/>
      <c r="F12" s="36">
        <f>IF($D12="Hecho",IF($E12="",INDEX(Sheet1!$F$1:$F$44,MATCH($A12,Sheet1!$A$1:$A$44,0)),$E12),"")</f>
        <v>46271</v>
      </c>
    </row>
    <row r="13" spans="1:6" x14ac:dyDescent="0.3">
      <c r="A13" s="32" t="str">
        <f>Sheet1!$A$3</f>
        <v>SPRINT 0</v>
      </c>
      <c r="B13" s="33" t="str">
        <f>Sheet1!$A$12</f>
        <v>Realización evidencia de Guía Estudiante F1</v>
      </c>
      <c r="C13" s="34">
        <v>1</v>
      </c>
      <c r="D13" s="34" t="s">
        <v>72</v>
      </c>
      <c r="E13" s="35"/>
      <c r="F13" s="36">
        <f>IF($D13="Hecho",IF($E13="",INDEX(Sheet1!$F$1:$F$44,MATCH($A13,Sheet1!$A$1:$A$44,0)),$E13),"")</f>
        <v>46271</v>
      </c>
    </row>
    <row r="14" spans="1:6" x14ac:dyDescent="0.3">
      <c r="A14" s="32" t="str">
        <f>Sheet1!$A$3</f>
        <v>SPRINT 0</v>
      </c>
      <c r="B14" s="33" t="str">
        <f>Sheet1!$A$13</f>
        <v>Estructurado de Product Backlog</v>
      </c>
      <c r="C14" s="34">
        <v>1</v>
      </c>
      <c r="D14" s="34" t="s">
        <v>72</v>
      </c>
      <c r="E14" s="35"/>
      <c r="F14" s="36">
        <f>IF($D14="Hecho",IF($E14="",INDEX(Sheet1!$F$1:$F$44,MATCH($A14,Sheet1!$A$1:$A$44,0)),$E14),"")</f>
        <v>46271</v>
      </c>
    </row>
    <row r="15" spans="1:6" x14ac:dyDescent="0.3">
      <c r="A15" s="32" t="str">
        <f>Sheet1!$A$3</f>
        <v>SPRINT 0</v>
      </c>
      <c r="B15" s="33" t="str">
        <f>Sheet1!$A$14</f>
        <v>Configuración de repositorio GIT</v>
      </c>
      <c r="C15" s="34">
        <v>1</v>
      </c>
      <c r="D15" s="34" t="s">
        <v>72</v>
      </c>
      <c r="E15" s="35"/>
      <c r="F15" s="36">
        <f>IF($D15="Hecho",IF($E15="",INDEX(Sheet1!$F$1:$F$44,MATCH($A15,Sheet1!$A$1:$A$44,0)),$E15),"")</f>
        <v>46271</v>
      </c>
    </row>
    <row r="16" spans="1:6" x14ac:dyDescent="0.3">
      <c r="A16" s="32" t="str">
        <f>Sheet1!$A$3</f>
        <v>SPRINT 0</v>
      </c>
      <c r="B16" s="33" t="str">
        <f>Sheet1!$A$15</f>
        <v>Configuración del backend/API</v>
      </c>
      <c r="C16" s="34">
        <v>1</v>
      </c>
      <c r="D16" s="34" t="s">
        <v>72</v>
      </c>
      <c r="E16" s="35"/>
      <c r="F16" s="36">
        <f>IF($D16="Hecho",IF($E16="",INDEX(Sheet1!$F$1:$F$44,MATCH($A16,Sheet1!$A$1:$A$44,0)),$E16),"")</f>
        <v>46271</v>
      </c>
    </row>
    <row r="17" spans="1:6" x14ac:dyDescent="0.3">
      <c r="A17" s="32" t="str">
        <f>Sheet1!$A$3</f>
        <v>SPRINT 0</v>
      </c>
      <c r="B17" s="33" t="str">
        <f>Sheet1!$A$16</f>
        <v>Configuración del VPS/Servidor</v>
      </c>
      <c r="C17" s="34">
        <v>1</v>
      </c>
      <c r="D17" s="34" t="s">
        <v>72</v>
      </c>
      <c r="E17" s="35"/>
      <c r="F17" s="36">
        <f>IF($D17="Hecho",IF($E17="",INDEX(Sheet1!$F$1:$F$44,MATCH($A17,Sheet1!$A$1:$A$44,0)),$E17),"")</f>
        <v>46271</v>
      </c>
    </row>
    <row r="18" spans="1:6" x14ac:dyDescent="0.3">
      <c r="A18" s="32" t="str">
        <f>Sheet1!$A$3</f>
        <v>SPRINT 0</v>
      </c>
      <c r="B18" s="33" t="str">
        <f>Sheet1!$A$17</f>
        <v>Implementación de políticas de seguridad y autenticación</v>
      </c>
      <c r="C18" s="34">
        <v>1</v>
      </c>
      <c r="D18" s="34" t="s">
        <v>72</v>
      </c>
      <c r="E18" s="35"/>
      <c r="F18" s="36">
        <f>IF($D18="Hecho",IF($E18="",INDEX(Sheet1!$F$1:$F$44,MATCH($A18,Sheet1!$A$1:$A$44,0)),$E18),"")</f>
        <v>46271</v>
      </c>
    </row>
    <row r="19" spans="1:6" x14ac:dyDescent="0.3">
      <c r="A19" s="32" t="str">
        <f>Sheet1!$A$3</f>
        <v>SPRINT 0</v>
      </c>
      <c r="B19" s="33" t="str">
        <f>Sheet1!$A$18</f>
        <v>Planilla Evaluación F1</v>
      </c>
      <c r="C19" s="34">
        <v>1</v>
      </c>
      <c r="D19" s="34" t="s">
        <v>72</v>
      </c>
      <c r="E19" s="35"/>
      <c r="F19" s="36">
        <f>IF($D19="Hecho",IF($E19="",INDEX(Sheet1!$F$1:$F$44,MATCH($A19,Sheet1!$A$1:$A$44,0)),$E19),"")</f>
        <v>46271</v>
      </c>
    </row>
    <row r="20" spans="1:6" x14ac:dyDescent="0.3">
      <c r="A20" s="32" t="str">
        <f>Sheet1!$A$3</f>
        <v>SPRINT 0</v>
      </c>
      <c r="B20" s="33" t="str">
        <f>Sheet1!$A$19</f>
        <v>Evaluación 1 (Hito 1)</v>
      </c>
      <c r="C20" s="34">
        <v>1</v>
      </c>
      <c r="D20" s="34" t="s">
        <v>72</v>
      </c>
      <c r="E20" s="35"/>
      <c r="F20" s="36">
        <f>IF($D20="Hecho",IF($E20="",INDEX(Sheet1!$F$1:$F$44,MATCH($A20,Sheet1!$A$1:$A$44,0)),$E20),"")</f>
        <v>46271</v>
      </c>
    </row>
    <row r="21" spans="1:6" ht="15.75" customHeight="1" x14ac:dyDescent="0.3">
      <c r="A21" s="32" t="str">
        <f>Sheet1!$A$20</f>
        <v>SPRINT 1</v>
      </c>
      <c r="B21" s="33" t="str">
        <f>Sheet1!$A$21</f>
        <v>Diseñar y crear modelo Relacional/No Relacional</v>
      </c>
      <c r="C21" s="34">
        <v>1</v>
      </c>
      <c r="D21" s="34" t="s">
        <v>72</v>
      </c>
      <c r="E21" s="35"/>
      <c r="F21" s="36">
        <f>IF($D21="Hecho",IF($E21="",INDEX(Sheet1!$F$1:$F$44,MATCH($A21,Sheet1!$A$1:$A$44,0)),$E21),"")</f>
        <v>46292</v>
      </c>
    </row>
    <row r="22" spans="1:6" ht="15.75" customHeight="1" x14ac:dyDescent="0.3">
      <c r="A22" s="32" t="str">
        <f>Sheet1!$A$20</f>
        <v>SPRINT 1</v>
      </c>
      <c r="B22" s="33" t="str">
        <f>Sheet1!$A$22</f>
        <v>Registro de productos iniciales en base de datos (prueba)</v>
      </c>
      <c r="C22" s="34">
        <v>1</v>
      </c>
      <c r="D22" s="34" t="s">
        <v>72</v>
      </c>
      <c r="E22" s="35"/>
      <c r="F22" s="36">
        <f>IF($D22="Hecho",IF($E22="",INDEX(Sheet1!$F$1:$F$44,MATCH($A22,Sheet1!$A$1:$A$44,0)),$E22),"")</f>
        <v>46292</v>
      </c>
    </row>
    <row r="23" spans="1:6" ht="15.75" customHeight="1" x14ac:dyDescent="0.3">
      <c r="A23" s="32" t="str">
        <f>Sheet1!$A$20</f>
        <v>SPRINT 1</v>
      </c>
      <c r="B23" s="33" t="str">
        <f>Sheet1!$A$23</f>
        <v>Implementación de servicios backend</v>
      </c>
      <c r="C23" s="34">
        <v>1</v>
      </c>
      <c r="D23" s="34" t="s">
        <v>72</v>
      </c>
      <c r="E23" s="35"/>
      <c r="F23" s="36">
        <f>IF($D23="Hecho",IF($E23="",INDEX(Sheet1!$F$1:$F$44,MATCH($A23,Sheet1!$A$1:$A$44,0)),$E23),"")</f>
        <v>46292</v>
      </c>
    </row>
    <row r="24" spans="1:6" ht="15.75" customHeight="1" x14ac:dyDescent="0.3">
      <c r="A24" s="32" t="str">
        <f>Sheet1!$A$20</f>
        <v>SPRINT 1</v>
      </c>
      <c r="B24" s="33" t="str">
        <f>Sheet1!$A$24</f>
        <v>Implementación de vistas para usuario en tiempo real</v>
      </c>
      <c r="C24" s="34">
        <v>1</v>
      </c>
      <c r="D24" s="34" t="s">
        <v>72</v>
      </c>
      <c r="E24" s="35"/>
      <c r="F24" s="36">
        <f>IF($D24="Hecho",IF($E24="",INDEX(Sheet1!$F$1:$F$44,MATCH($A24,Sheet1!$A$1:$A$44,0)),$E24),"")</f>
        <v>46292</v>
      </c>
    </row>
    <row r="25" spans="1:6" ht="15.75" customHeight="1" x14ac:dyDescent="0.3">
      <c r="A25" s="32" t="str">
        <f>Sheet1!$A$20</f>
        <v>SPRINT 1</v>
      </c>
      <c r="B25" s="33" t="str">
        <f>Sheet1!$A$25</f>
        <v>Junta con cliente (N°2)</v>
      </c>
      <c r="C25" s="34">
        <v>1</v>
      </c>
      <c r="D25" s="34" t="s">
        <v>72</v>
      </c>
      <c r="E25" s="35"/>
      <c r="F25" s="36">
        <f>IF($D25="Hecho",IF($E25="",INDEX(Sheet1!$F$1:$F$44,MATCH($A25,Sheet1!$A$1:$A$44,0)),$E25),"")</f>
        <v>46292</v>
      </c>
    </row>
    <row r="26" spans="1:6" ht="15.75" customHeight="1" x14ac:dyDescent="0.3">
      <c r="A26" s="32" t="str">
        <f>Sheet1!$A$26</f>
        <v>SPRINT 2</v>
      </c>
      <c r="B26" s="33" t="str">
        <f>Sheet1!$A$30</f>
        <v>Construir script automatizado para webscraping</v>
      </c>
      <c r="C26" s="34">
        <v>1</v>
      </c>
      <c r="D26" s="34" t="s">
        <v>73</v>
      </c>
      <c r="E26" s="35"/>
      <c r="F26" s="36" t="str">
        <f>IF($D26="Hecho",IF($E26="",INDEX(Sheet1!$F$1:$F$44,MATCH($A26,Sheet1!$A$1:$A$44,0)),$E26),"")</f>
        <v/>
      </c>
    </row>
    <row r="27" spans="1:6" ht="15.75" customHeight="1" x14ac:dyDescent="0.3">
      <c r="A27" s="32" t="str">
        <f>Sheet1!$A$26</f>
        <v>SPRINT 2</v>
      </c>
      <c r="B27" s="33" t="str">
        <f>Sheet1!$A$27</f>
        <v>Desarrollar aplicación móvil</v>
      </c>
      <c r="C27" s="34">
        <v>1</v>
      </c>
      <c r="D27" s="34" t="s">
        <v>73</v>
      </c>
      <c r="E27" s="35"/>
      <c r="F27" s="36" t="str">
        <f>IF($D27="Hecho",IF($E27="",INDEX(Sheet1!$F$1:$F$44,MATCH($A27,Sheet1!$A$1:$A$44,0)),$E27),"")</f>
        <v/>
      </c>
    </row>
    <row r="28" spans="1:6" ht="15.75" customHeight="1" x14ac:dyDescent="0.3">
      <c r="A28" s="32" t="str">
        <f>Sheet1!$A$26</f>
        <v>SPRINT 2</v>
      </c>
      <c r="B28" s="33" t="str">
        <f>Sheet1!$A$28</f>
        <v>Evaluación 2 (Hito 2)</v>
      </c>
      <c r="C28" s="34">
        <v>1</v>
      </c>
      <c r="D28" s="34" t="s">
        <v>73</v>
      </c>
      <c r="E28" s="35"/>
      <c r="F28" s="36" t="str">
        <f>IF($D28="Hecho",IF($E28="",INDEX(Sheet1!$F$1:$F$44,MATCH($A28,Sheet1!$A$1:$A$44,0)),$E28),"")</f>
        <v/>
      </c>
    </row>
    <row r="29" spans="1:6" ht="15.75" customHeight="1" x14ac:dyDescent="0.3">
      <c r="A29" s="32" t="str">
        <f>Sheet1!$A$26</f>
        <v>SPRINT 2</v>
      </c>
      <c r="B29" s="33" t="str">
        <f>Sheet1!$A$29</f>
        <v>Configurar envío de notificaciones "push" ante ofertas o cambios de precio</v>
      </c>
      <c r="C29" s="34">
        <v>1</v>
      </c>
      <c r="D29" s="34" t="s">
        <v>73</v>
      </c>
      <c r="E29" s="35"/>
      <c r="F29" s="36" t="str">
        <f>IF($D29="Hecho",IF($E29="",INDEX(Sheet1!$F$1:$F$44,MATCH($A29,Sheet1!$A$1:$A$44,0)),$E29),"")</f>
        <v/>
      </c>
    </row>
    <row r="30" spans="1:6" ht="15.75" customHeight="1" x14ac:dyDescent="0.3">
      <c r="A30" s="32" t="str">
        <f>Sheet1!$A$26</f>
        <v>SPRINT 2</v>
      </c>
      <c r="B30" s="33" t="str">
        <f>Sheet1!$A$31</f>
        <v>Creación función de escaneo de codigo de barras</v>
      </c>
      <c r="C30" s="34">
        <v>1</v>
      </c>
      <c r="D30" s="34" t="s">
        <v>73</v>
      </c>
      <c r="E30" s="35"/>
      <c r="F30" s="36" t="str">
        <f>IF($D30="Hecho",IF($E30="",INDEX(Sheet1!$F$1:$F$44,MATCH($A30,Sheet1!$A$1:$A$44,0)),$E30),"")</f>
        <v/>
      </c>
    </row>
    <row r="31" spans="1:6" ht="15.75" customHeight="1" x14ac:dyDescent="0.3">
      <c r="A31" s="32" t="str">
        <f>Sheet1!$A$26</f>
        <v>SPRINT 2</v>
      </c>
      <c r="B31" s="33" t="str">
        <f>Sheet1!$A$32</f>
        <v>Junta con cliente (N°3)</v>
      </c>
      <c r="C31" s="34">
        <v>1</v>
      </c>
      <c r="D31" s="34" t="s">
        <v>73</v>
      </c>
      <c r="E31" s="35"/>
      <c r="F31" s="36" t="str">
        <f>IF($D31="Hecho",IF($E31="",INDEX(Sheet1!$F$1:$F$44,MATCH($A31,Sheet1!$A$1:$A$44,0)),$E31),"")</f>
        <v/>
      </c>
    </row>
    <row r="32" spans="1:6" ht="15.75" customHeight="1" x14ac:dyDescent="0.3">
      <c r="A32" s="32" t="str">
        <f>Sheet1!$A$33</f>
        <v>SPRINT 3</v>
      </c>
      <c r="B32" s="33" t="str">
        <f>Sheet1!$A$34</f>
        <v>Configurar notificaciones de falta stock en la pagina del proveedor</v>
      </c>
      <c r="C32" s="34">
        <v>1</v>
      </c>
      <c r="D32" s="34" t="s">
        <v>73</v>
      </c>
      <c r="E32" s="35"/>
      <c r="F32" s="36" t="str">
        <f>IF($D32="Hecho",IF($E32="",INDEX(Sheet1!$F$1:$F$44,MATCH($A32,Sheet1!$A$1:$A$44,0)),$E32),"")</f>
        <v/>
      </c>
    </row>
    <row r="33" spans="1:6" ht="15.75" customHeight="1" x14ac:dyDescent="0.3">
      <c r="A33" s="32" t="str">
        <f>Sheet1!$A$33</f>
        <v>SPRINT 3</v>
      </c>
      <c r="B33" s="33" t="str">
        <f>Sheet1!$A$35</f>
        <v>Desarrollar agente de IA de reconocimiento de voz</v>
      </c>
      <c r="C33" s="34">
        <v>1</v>
      </c>
      <c r="D33" s="34" t="s">
        <v>73</v>
      </c>
      <c r="E33" s="35"/>
      <c r="F33" s="36" t="str">
        <f>IF($D33="Hecho",IF($E33="",INDEX(Sheet1!$F$1:$F$44,MATCH($A33,Sheet1!$A$1:$A$44,0)),$E33),"")</f>
        <v/>
      </c>
    </row>
    <row r="34" spans="1:6" ht="15.75" customHeight="1" x14ac:dyDescent="0.3">
      <c r="A34" s="32" t="str">
        <f>Sheet1!$A$33</f>
        <v>SPRINT 3</v>
      </c>
      <c r="B34" s="33" t="str">
        <f>Sheet1!$A$36</f>
        <v>Implementar agente de IA de reconocimiento de voz para resolver consultas</v>
      </c>
      <c r="C34" s="34">
        <v>1</v>
      </c>
      <c r="D34" s="34" t="s">
        <v>73</v>
      </c>
      <c r="E34" s="35"/>
      <c r="F34" s="36" t="str">
        <f>IF($D34="Hecho",IF($E34="",INDEX(Sheet1!$F$1:$F$44,MATCH($A34,Sheet1!$A$1:$A$44,0)),$E34),"")</f>
        <v/>
      </c>
    </row>
    <row r="35" spans="1:6" ht="15.75" customHeight="1" x14ac:dyDescent="0.3">
      <c r="A35" s="32" t="str">
        <f>Sheet1!$A$33</f>
        <v>SPRINT 3</v>
      </c>
      <c r="B35" s="33" t="str">
        <f>Sheet1!$A$37</f>
        <v>Ejecución de pruebas unitarias entre plataformas</v>
      </c>
      <c r="C35" s="34">
        <v>1</v>
      </c>
      <c r="D35" s="34" t="s">
        <v>73</v>
      </c>
      <c r="E35" s="35"/>
      <c r="F35" s="36" t="str">
        <f>IF($D35="Hecho",IF($E35="",INDEX(Sheet1!$F$1:$F$44,MATCH($A35,Sheet1!$A$1:$A$44,0)),$E35),"")</f>
        <v/>
      </c>
    </row>
    <row r="36" spans="1:6" ht="15.75" customHeight="1" x14ac:dyDescent="0.3">
      <c r="A36" s="32" t="str">
        <f>Sheet1!$A$33</f>
        <v>SPRINT 3</v>
      </c>
      <c r="B36" s="33" t="str">
        <f>Sheet1!$A$38</f>
        <v>Ejecución de pruebas de carga</v>
      </c>
      <c r="C36" s="34">
        <v>1</v>
      </c>
      <c r="D36" s="34" t="s">
        <v>73</v>
      </c>
      <c r="E36" s="35"/>
      <c r="F36" s="36" t="str">
        <f>IF($D36="Hecho",IF($E36="",INDEX(Sheet1!$F$1:$F$44,MATCH($A36,Sheet1!$A$1:$A$44,0)),$E36),"")</f>
        <v/>
      </c>
    </row>
    <row r="37" spans="1:6" ht="15.75" customHeight="1" x14ac:dyDescent="0.3">
      <c r="A37" s="32" t="str">
        <f>Sheet1!$A$33</f>
        <v>SPRINT 3</v>
      </c>
      <c r="B37" s="33" t="str">
        <f>Sheet1!$A$39</f>
        <v>Junta con cliente (N°4)</v>
      </c>
      <c r="C37" s="34">
        <v>1</v>
      </c>
      <c r="D37" s="34" t="s">
        <v>73</v>
      </c>
      <c r="E37" s="35"/>
      <c r="F37" s="36" t="str">
        <f>IF($D37="Hecho",IF($E37="",INDEX(Sheet1!$F$1:$F$44,MATCH($A37,Sheet1!$A$1:$A$44,0)),$E37),"")</f>
        <v/>
      </c>
    </row>
    <row r="38" spans="1:6" ht="15.75" customHeight="1" x14ac:dyDescent="0.3">
      <c r="A38" s="32" t="str">
        <f>Sheet1!$A$40</f>
        <v>SPRINT 4</v>
      </c>
      <c r="B38" s="33" t="str">
        <f>Sheet1!$A$41</f>
        <v>Redacción de informe final</v>
      </c>
      <c r="C38" s="34">
        <v>1</v>
      </c>
      <c r="D38" s="34" t="s">
        <v>73</v>
      </c>
      <c r="E38" s="35"/>
      <c r="F38" s="36" t="str">
        <f>IF($D38="Hecho",IF($E38="",INDEX(Sheet1!$F$1:$F$44,MATCH($A38,Sheet1!$A$1:$A$44,0)),$E38),"")</f>
        <v/>
      </c>
    </row>
    <row r="39" spans="1:6" ht="15.75" customHeight="1" x14ac:dyDescent="0.3">
      <c r="A39" s="32" t="str">
        <f>Sheet1!$A$40</f>
        <v>SPRINT 4</v>
      </c>
      <c r="B39" s="33" t="str">
        <f>Sheet1!$A$42</f>
        <v>Creación de manual de usuario y guía de despliegue</v>
      </c>
      <c r="C39" s="34">
        <v>1</v>
      </c>
      <c r="D39" s="34" t="s">
        <v>73</v>
      </c>
      <c r="E39" s="35"/>
      <c r="F39" s="36" t="str">
        <f>IF($D39="Hecho",IF($E39="",INDEX(Sheet1!$F$1:$F$44,MATCH($A39,Sheet1!$A$1:$A$44,0)),$E39),"")</f>
        <v/>
      </c>
    </row>
    <row r="40" spans="1:6" ht="15.75" customHeight="1" x14ac:dyDescent="0.3">
      <c r="A40" s="32" t="str">
        <f>Sheet1!$A$40</f>
        <v>SPRINT 4</v>
      </c>
      <c r="B40" s="33" t="str">
        <f>Sheet1!$A$43</f>
        <v>Preparación de la presentación y defensa</v>
      </c>
      <c r="C40" s="34">
        <v>1</v>
      </c>
      <c r="D40" s="34" t="s">
        <v>73</v>
      </c>
      <c r="E40" s="35"/>
      <c r="F40" s="36" t="str">
        <f>IF($D40="Hecho",IF($E40="",INDEX(Sheet1!$F$1:$F$44,MATCH($A40,Sheet1!$A$1:$A$44,0)),$E40),"")</f>
        <v/>
      </c>
    </row>
    <row r="41" spans="1:6" ht="15.75" customHeight="1" x14ac:dyDescent="0.3">
      <c r="A41" s="32" t="str">
        <f>Sheet1!$A$40</f>
        <v>SPRINT 4</v>
      </c>
      <c r="B41" s="33" t="str">
        <f>Sheet1!$A$44</f>
        <v>Evaluación 3 (Hito 3)</v>
      </c>
      <c r="C41" s="34">
        <v>1</v>
      </c>
      <c r="D41" s="34" t="s">
        <v>73</v>
      </c>
      <c r="E41" s="35"/>
      <c r="F41" s="36" t="str">
        <f>IF($D41="Hecho",IF($E41="",INDEX(Sheet1!$F$1:$F$44,MATCH($A41,Sheet1!$A$1:$A$44,0)),$E41),"")</f>
        <v/>
      </c>
    </row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dataValidations count="3">
    <dataValidation type="decimal" operator="greaterThanOrEqual" allowBlank="1" sqref="C5:C41" xr:uid="{00000000-0002-0000-0100-000000000000}">
      <formula1>0</formula1>
      <formula2>0</formula2>
    </dataValidation>
    <dataValidation type="list" allowBlank="1" sqref="D5:D41" xr:uid="{00000000-0002-0000-0100-000001000000}">
      <formula1>"Hecho,Pendiente"</formula1>
      <formula2>0</formula2>
    </dataValidation>
    <dataValidation type="date" operator="greaterThan" allowBlank="1" showErrorMessage="1" errorTitle="Fecha inválida" error="Ingresa una fecha (dd-mm-yyyy)." sqref="E5:E41" xr:uid="{00000000-0002-0000-0100-000002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topLeftCell="A8" zoomScaleNormal="100" workbookViewId="0">
      <selection activeCell="E9" sqref="E9"/>
    </sheetView>
  </sheetViews>
  <sheetFormatPr baseColWidth="10" defaultColWidth="8.5546875" defaultRowHeight="14.4" x14ac:dyDescent="0.3"/>
  <cols>
    <col min="1" max="1" width="20" customWidth="1"/>
    <col min="2" max="2" width="12" customWidth="1"/>
    <col min="3" max="5" width="16" customWidth="1"/>
    <col min="6" max="6" width="3" customWidth="1"/>
    <col min="7" max="7" width="20" customWidth="1"/>
    <col min="8" max="8" width="14" customWidth="1"/>
    <col min="9" max="9" width="3" customWidth="1"/>
  </cols>
  <sheetData>
    <row r="1" spans="1:8" ht="17.399999999999999" x14ac:dyDescent="0.3">
      <c r="A1" s="37" t="s">
        <v>74</v>
      </c>
    </row>
    <row r="2" spans="1:8" x14ac:dyDescent="0.3">
      <c r="A2" s="29" t="s">
        <v>75</v>
      </c>
    </row>
    <row r="4" spans="1:8" ht="30" customHeight="1" x14ac:dyDescent="0.3">
      <c r="A4" s="31" t="s">
        <v>76</v>
      </c>
      <c r="B4" s="31" t="s">
        <v>77</v>
      </c>
      <c r="C4" s="31" t="s">
        <v>78</v>
      </c>
      <c r="D4" s="31" t="s">
        <v>79</v>
      </c>
      <c r="E4" s="31" t="s">
        <v>80</v>
      </c>
      <c r="G4" s="63" t="s">
        <v>81</v>
      </c>
      <c r="H4" s="63"/>
    </row>
    <row r="5" spans="1:8" x14ac:dyDescent="0.3">
      <c r="A5" s="38" t="s">
        <v>82</v>
      </c>
      <c r="B5" s="39">
        <f>$H$6</f>
        <v>46244</v>
      </c>
      <c r="C5" s="40">
        <v>0</v>
      </c>
      <c r="D5" s="41">
        <f>$H$8</f>
        <v>16</v>
      </c>
      <c r="E5" s="40">
        <f>$H$8</f>
        <v>16</v>
      </c>
      <c r="G5" s="42" t="s">
        <v>66</v>
      </c>
      <c r="H5" s="43" t="str">
        <f>Sheet1!$A$3</f>
        <v>SPRINT 0</v>
      </c>
    </row>
    <row r="6" spans="1:8" x14ac:dyDescent="0.3">
      <c r="A6" s="44" t="s">
        <v>83</v>
      </c>
      <c r="B6" s="39">
        <f>$H$6+7*1-1</f>
        <v>46250</v>
      </c>
      <c r="C6" s="45">
        <f ca="1">IF($B6&gt;TODAY(),NA(),SUMIFS(Tareas!$C$5:$C$41,Tareas!$A$5:$A$41,$H$5,Tareas!$F$5:$F$41,"&lt;="&amp;$B6))</f>
        <v>0</v>
      </c>
      <c r="D6" s="41">
        <f>$H$8*MAX(0,1-($B6-$H$6+1)/($H$7-$H$6+1))</f>
        <v>12</v>
      </c>
      <c r="E6" s="40">
        <v>12</v>
      </c>
      <c r="G6" s="42" t="s">
        <v>84</v>
      </c>
      <c r="H6" s="46">
        <f>Sheet1!$E$3</f>
        <v>46244</v>
      </c>
    </row>
    <row r="7" spans="1:8" x14ac:dyDescent="0.3">
      <c r="A7" s="44" t="s">
        <v>85</v>
      </c>
      <c r="B7" s="39">
        <f>$H$6+7*2-1</f>
        <v>46257</v>
      </c>
      <c r="C7" s="45">
        <f ca="1">IF($B7&gt;TODAY(),NA(),SUMIFS(Tareas!$C$5:$C$41,Tareas!$A$5:$A$41,$H$5,Tareas!$F$5:$F$41,"&lt;="&amp;$B7))</f>
        <v>0</v>
      </c>
      <c r="D7" s="41">
        <f>$H$8*MAX(0,1-($B7-$H$6+1)/($H$7-$H$6+1))</f>
        <v>8</v>
      </c>
      <c r="E7" s="40">
        <v>8</v>
      </c>
      <c r="G7" s="42" t="s">
        <v>86</v>
      </c>
      <c r="H7" s="46">
        <f>Sheet1!$F$3</f>
        <v>46271</v>
      </c>
    </row>
    <row r="8" spans="1:8" x14ac:dyDescent="0.3">
      <c r="A8" s="44" t="s">
        <v>87</v>
      </c>
      <c r="B8" s="39">
        <f>$H$6+7*3-1</f>
        <v>46264</v>
      </c>
      <c r="C8" s="45">
        <f ca="1">IF($B8&gt;TODAY(),NA(),SUMIFS(Tareas!$C$5:$C$41,Tareas!$A$5:$A$41,$H$5,Tareas!$F$5:$F$41,"&lt;="&amp;$B8))</f>
        <v>0</v>
      </c>
      <c r="D8" s="41">
        <f>$H$8*MAX(0,1-($B8-$H$6+1)/($H$7-$H$6+1))</f>
        <v>4</v>
      </c>
      <c r="E8" s="40">
        <v>4</v>
      </c>
      <c r="G8" s="42" t="s">
        <v>88</v>
      </c>
      <c r="H8" s="47">
        <f>SUMIFS(Tareas!$C$5:$C$41,Tareas!$A$5:$A$41,$H$5)</f>
        <v>16</v>
      </c>
    </row>
    <row r="9" spans="1:8" x14ac:dyDescent="0.3">
      <c r="A9" s="44" t="s">
        <v>89</v>
      </c>
      <c r="B9" s="39">
        <f>$H$6+7*4-1</f>
        <v>46271</v>
      </c>
      <c r="C9" s="45">
        <f ca="1">IF($B9&gt;TODAY(),NA(),SUMIFS(Tareas!$C$5:$C$41,Tareas!$A$5:$A$41,$H$5,Tareas!$F$5:$F$41,"&lt;="&amp;$B9))</f>
        <v>16</v>
      </c>
      <c r="D9" s="41">
        <f>$H$8*MAX(0,1-($B9-$H$6+1)/($H$7-$H$6+1))</f>
        <v>0</v>
      </c>
      <c r="E9" s="40">
        <f ca="1">IF(ISNA($C9),NA(),$H$8-$C9)</f>
        <v>0</v>
      </c>
      <c r="G9" s="42" t="s">
        <v>90</v>
      </c>
      <c r="H9" s="47">
        <f>SUMIFS(Tareas!$C$5:$C$41,Tareas!$A$5:$A$41,$H$5,Tareas!$D$5:$D$41,"Hecho")</f>
        <v>16</v>
      </c>
    </row>
    <row r="10" spans="1:8" x14ac:dyDescent="0.3">
      <c r="G10" s="42" t="s">
        <v>91</v>
      </c>
      <c r="H10" s="48">
        <f>H8-H9</f>
        <v>0</v>
      </c>
    </row>
    <row r="11" spans="1:8" x14ac:dyDescent="0.3">
      <c r="A11" s="29" t="s">
        <v>92</v>
      </c>
      <c r="G11" s="42" t="s">
        <v>93</v>
      </c>
      <c r="H11" s="49">
        <f>IF(H8=0,0,H9/H8)</f>
        <v>1</v>
      </c>
    </row>
  </sheetData>
  <mergeCells count="1">
    <mergeCell ref="G4:H4"/>
  </mergeCells>
  <conditionalFormatting sqref="C6:E9">
    <cfRule type="expression" dxfId="4" priority="2">
      <formula>ISNA(C6)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topLeftCell="A5" zoomScaleNormal="100" workbookViewId="0">
      <selection activeCell="E39" sqref="E39"/>
    </sheetView>
  </sheetViews>
  <sheetFormatPr baseColWidth="10" defaultColWidth="8.5546875" defaultRowHeight="14.4" x14ac:dyDescent="0.3"/>
  <cols>
    <col min="1" max="1" width="20" customWidth="1"/>
    <col min="2" max="2" width="12" customWidth="1"/>
    <col min="3" max="5" width="16" customWidth="1"/>
    <col min="6" max="6" width="3" customWidth="1"/>
    <col min="7" max="7" width="20" customWidth="1"/>
    <col min="8" max="8" width="14" customWidth="1"/>
    <col min="9" max="9" width="3" customWidth="1"/>
  </cols>
  <sheetData>
    <row r="1" spans="1:8" ht="17.399999999999999" x14ac:dyDescent="0.3">
      <c r="A1" s="37" t="s">
        <v>94</v>
      </c>
    </row>
    <row r="2" spans="1:8" x14ac:dyDescent="0.3">
      <c r="A2" s="29" t="s">
        <v>75</v>
      </c>
    </row>
    <row r="4" spans="1:8" ht="30" customHeight="1" x14ac:dyDescent="0.3">
      <c r="A4" s="31" t="s">
        <v>76</v>
      </c>
      <c r="B4" s="31" t="s">
        <v>77</v>
      </c>
      <c r="C4" s="31" t="s">
        <v>78</v>
      </c>
      <c r="D4" s="31" t="s">
        <v>79</v>
      </c>
      <c r="E4" s="31" t="s">
        <v>80</v>
      </c>
      <c r="G4" s="63" t="s">
        <v>81</v>
      </c>
      <c r="H4" s="63"/>
    </row>
    <row r="5" spans="1:8" x14ac:dyDescent="0.3">
      <c r="A5" s="38" t="s">
        <v>82</v>
      </c>
      <c r="B5" s="39">
        <f>$H$6</f>
        <v>46272</v>
      </c>
      <c r="C5" s="40">
        <v>0</v>
      </c>
      <c r="D5" s="41">
        <f>$H$8</f>
        <v>5</v>
      </c>
      <c r="E5" s="40">
        <f>$H$8</f>
        <v>5</v>
      </c>
      <c r="G5" s="42" t="s">
        <v>66</v>
      </c>
      <c r="H5" s="43" t="str">
        <f>Sheet1!$A$20</f>
        <v>SPRINT 1</v>
      </c>
    </row>
    <row r="6" spans="1:8" x14ac:dyDescent="0.3">
      <c r="A6" s="44" t="s">
        <v>83</v>
      </c>
      <c r="B6" s="39">
        <f>$H$6+7*1-1</f>
        <v>46278</v>
      </c>
      <c r="C6" s="45">
        <f ca="1">IF($B6&gt;TODAY(),NA(),SUMIFS(Tareas!$C$5:$C$41,Tareas!$A$5:$A$41,$H$5,Tareas!$F$5:$F$41,"&lt;="&amp;$B6))</f>
        <v>0</v>
      </c>
      <c r="D6" s="41">
        <f>$H$8*MAX(0,1-($B6-$H$6+1)/($H$7-$H$6+1))</f>
        <v>3.3333333333333339</v>
      </c>
      <c r="E6" s="40">
        <v>3.3</v>
      </c>
      <c r="G6" s="42" t="s">
        <v>84</v>
      </c>
      <c r="H6" s="46">
        <f>Sheet1!$E$20</f>
        <v>46272</v>
      </c>
    </row>
    <row r="7" spans="1:8" x14ac:dyDescent="0.3">
      <c r="A7" s="44" t="s">
        <v>85</v>
      </c>
      <c r="B7" s="39">
        <f>$H$6+7*2-1</f>
        <v>46285</v>
      </c>
      <c r="C7" s="45">
        <f ca="1">IF($B7&gt;TODAY(),NA(),SUMIFS(Tareas!$C$5:$C$41,Tareas!$A$5:$A$41,$H$5,Tareas!$F$5:$F$41,"&lt;="&amp;$B7))</f>
        <v>0</v>
      </c>
      <c r="D7" s="41">
        <f>$H$8*MAX(0,1-($B7-$H$6+1)/($H$7-$H$6+1))</f>
        <v>1.666666666666667</v>
      </c>
      <c r="E7" s="40">
        <v>1.7</v>
      </c>
      <c r="G7" s="42" t="s">
        <v>86</v>
      </c>
      <c r="H7" s="46">
        <f>Sheet1!$F$20</f>
        <v>46292</v>
      </c>
    </row>
    <row r="8" spans="1:8" x14ac:dyDescent="0.3">
      <c r="A8" s="44" t="s">
        <v>87</v>
      </c>
      <c r="B8" s="39">
        <f>$H$6+7*3-1</f>
        <v>46292</v>
      </c>
      <c r="C8" s="45">
        <f ca="1">IF($B8&gt;TODAY(),NA(),SUMIFS(Tareas!$C$5:$C$41,Tareas!$A$5:$A$41,$H$5,Tareas!$F$5:$F$41,"&lt;="&amp;$B8))</f>
        <v>5</v>
      </c>
      <c r="D8" s="41">
        <f>$H$8*MAX(0,1-($B8-$H$6+1)/($H$7-$H$6+1))</f>
        <v>0</v>
      </c>
      <c r="E8" s="40">
        <v>0</v>
      </c>
      <c r="G8" s="42" t="s">
        <v>88</v>
      </c>
      <c r="H8" s="47">
        <f>SUMIFS(Tareas!$C$5:$C$41,Tareas!$A$5:$A$41,$H$5)</f>
        <v>5</v>
      </c>
    </row>
    <row r="9" spans="1:8" x14ac:dyDescent="0.3">
      <c r="G9" s="42" t="s">
        <v>90</v>
      </c>
      <c r="H9" s="47">
        <f>SUMIFS(Tareas!$C$5:$C$41,Tareas!$A$5:$A$41,$H$5,Tareas!$D$5:$D$41,"Hecho")</f>
        <v>5</v>
      </c>
    </row>
    <row r="10" spans="1:8" x14ac:dyDescent="0.3">
      <c r="A10" s="29" t="s">
        <v>92</v>
      </c>
      <c r="G10" s="42" t="s">
        <v>91</v>
      </c>
      <c r="H10" s="48">
        <f>H8-H9</f>
        <v>0</v>
      </c>
    </row>
    <row r="11" spans="1:8" x14ac:dyDescent="0.3">
      <c r="G11" s="42" t="s">
        <v>93</v>
      </c>
      <c r="H11" s="49">
        <f>IF(H8=0,0,H9/H8)</f>
        <v>1</v>
      </c>
    </row>
  </sheetData>
  <mergeCells count="1">
    <mergeCell ref="G4:H4"/>
  </mergeCells>
  <conditionalFormatting sqref="C6:E8">
    <cfRule type="expression" dxfId="3" priority="2">
      <formula>ISNA(C6)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topLeftCell="A3" zoomScaleNormal="100" workbookViewId="0">
      <selection activeCell="J23" sqref="J23"/>
    </sheetView>
  </sheetViews>
  <sheetFormatPr baseColWidth="10" defaultColWidth="8.5546875" defaultRowHeight="14.4" x14ac:dyDescent="0.3"/>
  <cols>
    <col min="1" max="1" width="20" customWidth="1"/>
    <col min="2" max="2" width="12" customWidth="1"/>
    <col min="3" max="5" width="16" customWidth="1"/>
    <col min="6" max="6" width="3" customWidth="1"/>
    <col min="7" max="7" width="20" customWidth="1"/>
    <col min="8" max="8" width="14" customWidth="1"/>
    <col min="9" max="9" width="3" customWidth="1"/>
  </cols>
  <sheetData>
    <row r="1" spans="1:8" ht="17.399999999999999" x14ac:dyDescent="0.3">
      <c r="A1" s="37" t="s">
        <v>95</v>
      </c>
    </row>
    <row r="2" spans="1:8" x14ac:dyDescent="0.3">
      <c r="A2" s="29" t="s">
        <v>75</v>
      </c>
    </row>
    <row r="4" spans="1:8" ht="30" customHeight="1" x14ac:dyDescent="0.3">
      <c r="A4" s="31" t="s">
        <v>76</v>
      </c>
      <c r="B4" s="31" t="s">
        <v>77</v>
      </c>
      <c r="C4" s="31" t="s">
        <v>78</v>
      </c>
      <c r="D4" s="31" t="s">
        <v>79</v>
      </c>
      <c r="E4" s="31" t="s">
        <v>80</v>
      </c>
      <c r="G4" s="63" t="s">
        <v>81</v>
      </c>
      <c r="H4" s="63"/>
    </row>
    <row r="5" spans="1:8" x14ac:dyDescent="0.3">
      <c r="A5" s="38" t="s">
        <v>82</v>
      </c>
      <c r="B5" s="39">
        <f>$H$6</f>
        <v>46293</v>
      </c>
      <c r="C5" s="40">
        <v>1</v>
      </c>
      <c r="D5" s="41">
        <f>$H$8</f>
        <v>6</v>
      </c>
      <c r="E5" s="40">
        <f>$H$8</f>
        <v>6</v>
      </c>
      <c r="G5" s="42" t="s">
        <v>66</v>
      </c>
      <c r="H5" s="43" t="str">
        <f>Sheet1!$A$26</f>
        <v>SPRINT 2</v>
      </c>
    </row>
    <row r="6" spans="1:8" x14ac:dyDescent="0.3">
      <c r="A6" s="44" t="s">
        <v>83</v>
      </c>
      <c r="B6" s="39">
        <f>$H$6+7*1-1</f>
        <v>46299</v>
      </c>
      <c r="C6" s="45">
        <v>1</v>
      </c>
      <c r="D6" s="41">
        <f>$H$8*MAX(0,1-($B6-$H$6+1)/($H$7-$H$6+1))</f>
        <v>4.5</v>
      </c>
      <c r="E6" s="40">
        <f>IF(ISNA($C6),NA(),$H$8-$C6)</f>
        <v>5</v>
      </c>
      <c r="G6" s="42" t="s">
        <v>84</v>
      </c>
      <c r="H6" s="46">
        <f>Sheet1!$E$26</f>
        <v>46293</v>
      </c>
    </row>
    <row r="7" spans="1:8" x14ac:dyDescent="0.3">
      <c r="A7" s="44" t="s">
        <v>85</v>
      </c>
      <c r="B7" s="39">
        <f>$H$6+7*2-1</f>
        <v>46306</v>
      </c>
      <c r="C7" s="45">
        <v>1</v>
      </c>
      <c r="D7" s="41">
        <f>$H$8*MAX(0,1-($B7-$H$6+1)/($H$7-$H$6+1))</f>
        <v>3</v>
      </c>
      <c r="E7" s="40">
        <f>IF(ISNA($C7),NA(),$H$8-$C7)</f>
        <v>5</v>
      </c>
      <c r="G7" s="42" t="s">
        <v>86</v>
      </c>
      <c r="H7" s="46">
        <f>Sheet1!$F$26</f>
        <v>46320</v>
      </c>
    </row>
    <row r="8" spans="1:8" x14ac:dyDescent="0.3">
      <c r="A8" s="44" t="s">
        <v>87</v>
      </c>
      <c r="B8" s="39">
        <f>$H$6+7*3-1</f>
        <v>46313</v>
      </c>
      <c r="C8" s="45">
        <v>1</v>
      </c>
      <c r="D8" s="41">
        <f>$H$8*MAX(0,1-($B8-$H$6+1)/($H$7-$H$6+1))</f>
        <v>1.5</v>
      </c>
      <c r="E8" s="40">
        <f>IF(ISNA($C8),NA(),$H$8-$C8)</f>
        <v>5</v>
      </c>
      <c r="G8" s="42" t="s">
        <v>88</v>
      </c>
      <c r="H8" s="47">
        <f>SUMIFS(Tareas!$C$5:$C$41,Tareas!$A$5:$A$41,$H$5)</f>
        <v>6</v>
      </c>
    </row>
    <row r="9" spans="1:8" x14ac:dyDescent="0.3">
      <c r="A9" s="44" t="s">
        <v>89</v>
      </c>
      <c r="B9" s="39">
        <f>$H$6+7*4-1</f>
        <v>46320</v>
      </c>
      <c r="C9" s="45">
        <v>1</v>
      </c>
      <c r="D9" s="41">
        <f>$H$8*MAX(0,1-($B9-$H$6+1)/($H$7-$H$6+1))</f>
        <v>0</v>
      </c>
      <c r="E9" s="40">
        <f>IF(ISNA($C9),NA(),$H$8-$C9)</f>
        <v>5</v>
      </c>
      <c r="G9" s="42" t="s">
        <v>90</v>
      </c>
      <c r="H9" s="47">
        <f>SUMIFS(Tareas!$C$5:$C$41,Tareas!$A$5:$A$41,$H$5,Tareas!$D$5:$D$41,"Hecho")</f>
        <v>0</v>
      </c>
    </row>
    <row r="10" spans="1:8" x14ac:dyDescent="0.3">
      <c r="G10" s="42" t="s">
        <v>91</v>
      </c>
      <c r="H10" s="48">
        <f>H8-H9</f>
        <v>6</v>
      </c>
    </row>
    <row r="11" spans="1:8" x14ac:dyDescent="0.3">
      <c r="A11" s="29" t="s">
        <v>92</v>
      </c>
      <c r="G11" s="42" t="s">
        <v>93</v>
      </c>
      <c r="H11" s="49">
        <f>IF(H8=0,0,H9/H8)</f>
        <v>0</v>
      </c>
    </row>
  </sheetData>
  <mergeCells count="1">
    <mergeCell ref="G4:H4"/>
  </mergeCells>
  <conditionalFormatting sqref="C6:E9">
    <cfRule type="expression" dxfId="2" priority="2">
      <formula>ISNA(C6)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zoomScaleNormal="100" workbookViewId="0"/>
  </sheetViews>
  <sheetFormatPr baseColWidth="10" defaultColWidth="8.5546875" defaultRowHeight="14.4" x14ac:dyDescent="0.3"/>
  <cols>
    <col min="1" max="1" width="20" customWidth="1"/>
    <col min="2" max="2" width="12" customWidth="1"/>
    <col min="3" max="5" width="16" customWidth="1"/>
    <col min="6" max="6" width="3" customWidth="1"/>
    <col min="7" max="7" width="20" customWidth="1"/>
    <col min="8" max="8" width="14" customWidth="1"/>
    <col min="9" max="9" width="3" customWidth="1"/>
  </cols>
  <sheetData>
    <row r="1" spans="1:8" ht="17.399999999999999" x14ac:dyDescent="0.3">
      <c r="A1" s="37" t="s">
        <v>96</v>
      </c>
    </row>
    <row r="2" spans="1:8" x14ac:dyDescent="0.3">
      <c r="A2" s="29" t="s">
        <v>75</v>
      </c>
    </row>
    <row r="4" spans="1:8" ht="30" customHeight="1" x14ac:dyDescent="0.3">
      <c r="A4" s="31" t="s">
        <v>76</v>
      </c>
      <c r="B4" s="31" t="s">
        <v>77</v>
      </c>
      <c r="C4" s="31" t="s">
        <v>78</v>
      </c>
      <c r="D4" s="31" t="s">
        <v>79</v>
      </c>
      <c r="E4" s="31" t="s">
        <v>80</v>
      </c>
      <c r="G4" s="63" t="s">
        <v>81</v>
      </c>
      <c r="H4" s="63"/>
    </row>
    <row r="5" spans="1:8" x14ac:dyDescent="0.3">
      <c r="A5" s="38" t="s">
        <v>82</v>
      </c>
      <c r="B5" s="39">
        <f>$H$6</f>
        <v>46321</v>
      </c>
      <c r="C5" s="40">
        <v>0</v>
      </c>
      <c r="D5" s="41">
        <f>$H$8</f>
        <v>6</v>
      </c>
      <c r="E5" s="40">
        <f>$H$8</f>
        <v>6</v>
      </c>
      <c r="G5" s="42" t="s">
        <v>66</v>
      </c>
      <c r="H5" s="43" t="str">
        <f>Sheet1!$A$33</f>
        <v>SPRINT 3</v>
      </c>
    </row>
    <row r="6" spans="1:8" x14ac:dyDescent="0.3">
      <c r="A6" s="44" t="s">
        <v>83</v>
      </c>
      <c r="B6" s="39">
        <f>$H$6+7*1-1</f>
        <v>46327</v>
      </c>
      <c r="C6" s="45" t="e">
        <f ca="1">IF($B6&gt;TODAY(),NA(),SUMIFS(Tareas!$C$5:$C$41,Tareas!$A$5:$A$41,$H$5,Tareas!$F$5:$F$41,"&lt;="&amp;$B6))</f>
        <v>#N/A</v>
      </c>
      <c r="D6" s="41">
        <f>$H$8*MAX(0,1-($B6-$H$6+1)/($H$7-$H$6+1))</f>
        <v>4</v>
      </c>
      <c r="E6" s="40" t="e">
        <f ca="1">IF(ISNA($C6),NA(),$H$8-$C6)</f>
        <v>#N/A</v>
      </c>
      <c r="G6" s="42" t="s">
        <v>84</v>
      </c>
      <c r="H6" s="46">
        <f>Sheet1!$E$33</f>
        <v>46321</v>
      </c>
    </row>
    <row r="7" spans="1:8" x14ac:dyDescent="0.3">
      <c r="A7" s="44" t="s">
        <v>85</v>
      </c>
      <c r="B7" s="39">
        <f>$H$6+7*2-1</f>
        <v>46334</v>
      </c>
      <c r="C7" s="45" t="e">
        <f ca="1">IF($B7&gt;TODAY(),NA(),SUMIFS(Tareas!$C$5:$C$41,Tareas!$A$5:$A$41,$H$5,Tareas!$F$5:$F$41,"&lt;="&amp;$B7))</f>
        <v>#N/A</v>
      </c>
      <c r="D7" s="41">
        <f>$H$8*MAX(0,1-($B7-$H$6+1)/($H$7-$H$6+1))</f>
        <v>2</v>
      </c>
      <c r="E7" s="40" t="e">
        <f ca="1">IF(ISNA($C7),NA(),$H$8-$C7)</f>
        <v>#N/A</v>
      </c>
      <c r="G7" s="42" t="s">
        <v>86</v>
      </c>
      <c r="H7" s="46">
        <f>Sheet1!$F$33</f>
        <v>46341</v>
      </c>
    </row>
    <row r="8" spans="1:8" x14ac:dyDescent="0.3">
      <c r="A8" s="44" t="s">
        <v>87</v>
      </c>
      <c r="B8" s="39">
        <f>$H$6+7*3-1</f>
        <v>46341</v>
      </c>
      <c r="C8" s="45" t="e">
        <f ca="1">IF($B8&gt;TODAY(),NA(),SUMIFS(Tareas!$C$5:$C$41,Tareas!$A$5:$A$41,$H$5,Tareas!$F$5:$F$41,"&lt;="&amp;$B8))</f>
        <v>#N/A</v>
      </c>
      <c r="D8" s="41">
        <f>$H$8*MAX(0,1-($B8-$H$6+1)/($H$7-$H$6+1))</f>
        <v>0</v>
      </c>
      <c r="E8" s="40" t="e">
        <f ca="1">IF(ISNA($C8),NA(),$H$8-$C8)</f>
        <v>#N/A</v>
      </c>
      <c r="G8" s="42" t="s">
        <v>88</v>
      </c>
      <c r="H8" s="47">
        <f>SUMIFS(Tareas!$C$5:$C$41,Tareas!$A$5:$A$41,$H$5)</f>
        <v>6</v>
      </c>
    </row>
    <row r="9" spans="1:8" x14ac:dyDescent="0.3">
      <c r="G9" s="42" t="s">
        <v>90</v>
      </c>
      <c r="H9" s="47">
        <f>SUMIFS(Tareas!$C$5:$C$41,Tareas!$A$5:$A$41,$H$5,Tareas!$D$5:$D$41,"Hecho")</f>
        <v>0</v>
      </c>
    </row>
    <row r="10" spans="1:8" x14ac:dyDescent="0.3">
      <c r="A10" s="29" t="s">
        <v>92</v>
      </c>
      <c r="G10" s="42" t="s">
        <v>91</v>
      </c>
      <c r="H10" s="48">
        <f>H8-H9</f>
        <v>6</v>
      </c>
    </row>
    <row r="11" spans="1:8" x14ac:dyDescent="0.3">
      <c r="G11" s="42" t="s">
        <v>93</v>
      </c>
      <c r="H11" s="49">
        <f>IF(H8=0,0,H9/H8)</f>
        <v>0</v>
      </c>
    </row>
  </sheetData>
  <mergeCells count="1">
    <mergeCell ref="G4:H4"/>
  </mergeCells>
  <conditionalFormatting sqref="C6:E8">
    <cfRule type="expression" dxfId="1" priority="2">
      <formula>ISNA(C6)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showGridLines="0" zoomScaleNormal="100" workbookViewId="0"/>
  </sheetViews>
  <sheetFormatPr baseColWidth="10" defaultColWidth="8.5546875" defaultRowHeight="14.4" x14ac:dyDescent="0.3"/>
  <cols>
    <col min="1" max="1" width="20" customWidth="1"/>
    <col min="2" max="2" width="12" customWidth="1"/>
    <col min="3" max="5" width="16" customWidth="1"/>
    <col min="6" max="6" width="3" customWidth="1"/>
    <col min="7" max="7" width="20" customWidth="1"/>
    <col min="8" max="8" width="14" customWidth="1"/>
    <col min="9" max="9" width="3" customWidth="1"/>
  </cols>
  <sheetData>
    <row r="1" spans="1:8" ht="17.399999999999999" x14ac:dyDescent="0.3">
      <c r="A1" s="37" t="s">
        <v>97</v>
      </c>
    </row>
    <row r="2" spans="1:8" x14ac:dyDescent="0.3">
      <c r="A2" s="29" t="s">
        <v>75</v>
      </c>
    </row>
    <row r="4" spans="1:8" ht="30" customHeight="1" x14ac:dyDescent="0.3">
      <c r="A4" s="31" t="s">
        <v>76</v>
      </c>
      <c r="B4" s="31" t="s">
        <v>77</v>
      </c>
      <c r="C4" s="31" t="s">
        <v>78</v>
      </c>
      <c r="D4" s="31" t="s">
        <v>79</v>
      </c>
      <c r="E4" s="31" t="s">
        <v>80</v>
      </c>
      <c r="G4" s="63" t="s">
        <v>81</v>
      </c>
      <c r="H4" s="63"/>
    </row>
    <row r="5" spans="1:8" x14ac:dyDescent="0.3">
      <c r="A5" s="38" t="s">
        <v>82</v>
      </c>
      <c r="B5" s="39">
        <f>$H$6</f>
        <v>46342</v>
      </c>
      <c r="C5" s="40">
        <v>0</v>
      </c>
      <c r="D5" s="41">
        <f>$H$8</f>
        <v>4</v>
      </c>
      <c r="E5" s="40">
        <f>$H$8</f>
        <v>4</v>
      </c>
      <c r="G5" s="42" t="s">
        <v>66</v>
      </c>
      <c r="H5" s="43" t="str">
        <f>Sheet1!$A$40</f>
        <v>SPRINT 4</v>
      </c>
    </row>
    <row r="6" spans="1:8" x14ac:dyDescent="0.3">
      <c r="A6" s="44" t="s">
        <v>83</v>
      </c>
      <c r="B6" s="39">
        <f>$H$6+7*1-1</f>
        <v>46348</v>
      </c>
      <c r="C6" s="45" t="e">
        <f ca="1">IF($B6&gt;TODAY(),NA(),SUMIFS(Tareas!$C$5:$C$41,Tareas!$A$5:$A$41,$H$5,Tareas!$F$5:$F$41,"&lt;="&amp;$B6))</f>
        <v>#N/A</v>
      </c>
      <c r="D6" s="41">
        <f>$H$8*MAX(0,1-($B6-$H$6+1)/($H$7-$H$6+1))</f>
        <v>2.666666666666667</v>
      </c>
      <c r="E6" s="40" t="e">
        <f ca="1">IF(ISNA($C6),NA(),$H$8-$C6)</f>
        <v>#N/A</v>
      </c>
      <c r="G6" s="42" t="s">
        <v>84</v>
      </c>
      <c r="H6" s="46">
        <f>Sheet1!$E$40</f>
        <v>46342</v>
      </c>
    </row>
    <row r="7" spans="1:8" x14ac:dyDescent="0.3">
      <c r="A7" s="44" t="s">
        <v>85</v>
      </c>
      <c r="B7" s="39">
        <f>$H$6+7*2-1</f>
        <v>46355</v>
      </c>
      <c r="C7" s="45" t="e">
        <f ca="1">IF($B7&gt;TODAY(),NA(),SUMIFS(Tareas!$C$5:$C$41,Tareas!$A$5:$A$41,$H$5,Tareas!$F$5:$F$41,"&lt;="&amp;$B7))</f>
        <v>#N/A</v>
      </c>
      <c r="D7" s="41">
        <f>$H$8*MAX(0,1-($B7-$H$6+1)/($H$7-$H$6+1))</f>
        <v>1.3333333333333335</v>
      </c>
      <c r="E7" s="40" t="e">
        <f ca="1">IF(ISNA($C7),NA(),$H$8-$C7)</f>
        <v>#N/A</v>
      </c>
      <c r="G7" s="42" t="s">
        <v>86</v>
      </c>
      <c r="H7" s="46">
        <f>Sheet1!$F$40</f>
        <v>46362</v>
      </c>
    </row>
    <row r="8" spans="1:8" x14ac:dyDescent="0.3">
      <c r="A8" s="44" t="s">
        <v>87</v>
      </c>
      <c r="B8" s="39">
        <f>$H$6+7*3-1</f>
        <v>46362</v>
      </c>
      <c r="C8" s="45" t="e">
        <f ca="1">IF($B8&gt;TODAY(),NA(),SUMIFS(Tareas!$C$5:$C$41,Tareas!$A$5:$A$41,$H$5,Tareas!$F$5:$F$41,"&lt;="&amp;$B8))</f>
        <v>#N/A</v>
      </c>
      <c r="D8" s="41">
        <f>$H$8*MAX(0,1-($B8-$H$6+1)/($H$7-$H$6+1))</f>
        <v>0</v>
      </c>
      <c r="E8" s="40" t="e">
        <f ca="1">IF(ISNA($C8),NA(),$H$8-$C8)</f>
        <v>#N/A</v>
      </c>
      <c r="G8" s="42" t="s">
        <v>88</v>
      </c>
      <c r="H8" s="47">
        <f>SUMIFS(Tareas!$C$5:$C$41,Tareas!$A$5:$A$41,$H$5)</f>
        <v>4</v>
      </c>
    </row>
    <row r="9" spans="1:8" x14ac:dyDescent="0.3">
      <c r="G9" s="42" t="s">
        <v>90</v>
      </c>
      <c r="H9" s="47">
        <f>SUMIFS(Tareas!$C$5:$C$41,Tareas!$A$5:$A$41,$H$5,Tareas!$D$5:$D$41,"Hecho")</f>
        <v>0</v>
      </c>
    </row>
    <row r="10" spans="1:8" x14ac:dyDescent="0.3">
      <c r="A10" s="29" t="s">
        <v>92</v>
      </c>
      <c r="G10" s="42" t="s">
        <v>91</v>
      </c>
      <c r="H10" s="48">
        <f>H8-H9</f>
        <v>4</v>
      </c>
    </row>
    <row r="11" spans="1:8" x14ac:dyDescent="0.3">
      <c r="G11" s="42" t="s">
        <v>93</v>
      </c>
      <c r="H11" s="49">
        <f>IF(H8=0,0,H9/H8)</f>
        <v>0</v>
      </c>
    </row>
  </sheetData>
  <mergeCells count="1">
    <mergeCell ref="G4:H4"/>
  </mergeCells>
  <conditionalFormatting sqref="C6:E8">
    <cfRule type="expression" dxfId="0" priority="2">
      <formula>ISNA(C6)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Sheet1</vt:lpstr>
      <vt:lpstr>Tareas</vt:lpstr>
      <vt:lpstr>Burndown S0</vt:lpstr>
      <vt:lpstr>Burndown S1</vt:lpstr>
      <vt:lpstr>Burndown S2</vt:lpstr>
      <vt:lpstr>Burndown S3</vt:lpstr>
      <vt:lpstr>Burndown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ALONZO ROMERO VILLEGAS</dc:creator>
  <dc:description/>
  <cp:lastModifiedBy>ANETTE JAZMIN VILLALON BRUNA</cp:lastModifiedBy>
  <cp:revision>1</cp:revision>
  <dcterms:created xsi:type="dcterms:W3CDTF">2026-08-22T22:26:59Z</dcterms:created>
  <dcterms:modified xsi:type="dcterms:W3CDTF">2026-10-19T03:59:54Z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0x0101001A53D82CE2EA444F8C1386DECD75D215</vt:lpwstr>
  </property>
</Properties>
</file>